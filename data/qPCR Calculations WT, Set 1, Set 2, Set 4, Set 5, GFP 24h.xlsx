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yoya6\Downloads\"/>
    </mc:Choice>
  </mc:AlternateContent>
  <xr:revisionPtr revIDLastSave="0" documentId="13_ncr:1_{DED3F762-D5CD-4399-9D90-D4DBE3D89702}" xr6:coauthVersionLast="47" xr6:coauthVersionMax="47" xr10:uidLastSave="{00000000-0000-0000-0000-000000000000}"/>
  <bookViews>
    <workbookView xWindow="0" yWindow="360" windowWidth="23256" windowHeight="13896" xr2:uid="{9BF79059-56E3-D84E-A443-B25398739937}"/>
  </bookViews>
  <sheets>
    <sheet name="Sheet1" sheetId="4" r:id="rId1"/>
    <sheet name="Sheet2" sheetId="5" r:id="rId2"/>
    <sheet name="Calculations_1" sheetId="2" r:id="rId3"/>
    <sheet name="Bar Graphs_1"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45" i="2" l="1"/>
  <c r="E54" i="4"/>
  <c r="E51" i="4"/>
  <c r="E48" i="4"/>
  <c r="B48" i="4"/>
  <c r="E45" i="4"/>
  <c r="E42" i="4"/>
  <c r="E39" i="4"/>
  <c r="B39" i="4"/>
  <c r="E36" i="4"/>
  <c r="E33" i="4"/>
  <c r="E30" i="4"/>
  <c r="B30" i="4"/>
  <c r="E27" i="4"/>
  <c r="E24" i="4"/>
  <c r="E21" i="4"/>
  <c r="B21" i="4"/>
  <c r="E18" i="4"/>
  <c r="E15" i="4"/>
  <c r="E12" i="4"/>
  <c r="B12" i="4"/>
  <c r="E9" i="4"/>
  <c r="F45" i="4" s="1"/>
  <c r="E6" i="4"/>
  <c r="E3" i="4"/>
  <c r="B3" i="4"/>
  <c r="G54" i="2"/>
  <c r="G57" i="2"/>
  <c r="G116" i="2"/>
  <c r="AD77" i="3"/>
  <c r="AD76" i="3"/>
  <c r="AD75" i="3"/>
  <c r="AB77" i="3"/>
  <c r="AB76" i="3"/>
  <c r="AB75" i="3"/>
  <c r="Z77" i="3"/>
  <c r="Z76" i="3"/>
  <c r="Z75" i="3"/>
  <c r="X77" i="3"/>
  <c r="X76" i="3"/>
  <c r="X75" i="3"/>
  <c r="V92" i="3"/>
  <c r="V91" i="3"/>
  <c r="V89" i="3"/>
  <c r="V88" i="3"/>
  <c r="V86" i="3"/>
  <c r="V85" i="3"/>
  <c r="V83" i="3"/>
  <c r="V82" i="3"/>
  <c r="V80" i="3"/>
  <c r="V79" i="3"/>
  <c r="V77" i="3"/>
  <c r="V76" i="3"/>
  <c r="AG43" i="3"/>
  <c r="AG42" i="3"/>
  <c r="AG41" i="3"/>
  <c r="AG40" i="3"/>
  <c r="AG39" i="3"/>
  <c r="AG38" i="3"/>
  <c r="AG37" i="3"/>
  <c r="AG36" i="3"/>
  <c r="AG35" i="3"/>
  <c r="AG34" i="3"/>
  <c r="AG33" i="3"/>
  <c r="AG32" i="3"/>
  <c r="AG31" i="3"/>
  <c r="AG30" i="3"/>
  <c r="AG29" i="3"/>
  <c r="AE43" i="3"/>
  <c r="AE42" i="3"/>
  <c r="AE41" i="3"/>
  <c r="AE40" i="3"/>
  <c r="AE39" i="3"/>
  <c r="AE38" i="3"/>
  <c r="AE37" i="3"/>
  <c r="AE36" i="3"/>
  <c r="AE35" i="3"/>
  <c r="AE34" i="3"/>
  <c r="AE33" i="3"/>
  <c r="AE32" i="3"/>
  <c r="AE31" i="3"/>
  <c r="AE30" i="3"/>
  <c r="AE29" i="3"/>
  <c r="AC43" i="3"/>
  <c r="AC42" i="3"/>
  <c r="AC41" i="3"/>
  <c r="AC40" i="3"/>
  <c r="AC39" i="3"/>
  <c r="AC38" i="3"/>
  <c r="AC37" i="3"/>
  <c r="AC36" i="3"/>
  <c r="AC35" i="3"/>
  <c r="AC34" i="3"/>
  <c r="AC33" i="3"/>
  <c r="AC32" i="3"/>
  <c r="AC31" i="3"/>
  <c r="AC30" i="3"/>
  <c r="AC29" i="3"/>
  <c r="W43" i="3"/>
  <c r="W42" i="3"/>
  <c r="W40" i="3"/>
  <c r="AA40" i="3" s="1"/>
  <c r="W39" i="3"/>
  <c r="AA39" i="3" s="1"/>
  <c r="W37" i="3"/>
  <c r="AA37" i="3" s="1"/>
  <c r="W36" i="3"/>
  <c r="AA36" i="3" s="1"/>
  <c r="W31" i="3"/>
  <c r="W30" i="3"/>
  <c r="W34" i="3"/>
  <c r="W33" i="3"/>
  <c r="AA33" i="3" s="1"/>
  <c r="AA43" i="3"/>
  <c r="AA42" i="3"/>
  <c r="AA41" i="3"/>
  <c r="AA38" i="3"/>
  <c r="AA35" i="3"/>
  <c r="AA34" i="3"/>
  <c r="AA32" i="3"/>
  <c r="AA31" i="3"/>
  <c r="AA30" i="3"/>
  <c r="AA29" i="3"/>
  <c r="Y43" i="3"/>
  <c r="Y42" i="3"/>
  <c r="Y41" i="3"/>
  <c r="Y39" i="3"/>
  <c r="Y38" i="3"/>
  <c r="Y37" i="3"/>
  <c r="Y36" i="3"/>
  <c r="Y35" i="3"/>
  <c r="Y34" i="3"/>
  <c r="Y33" i="3"/>
  <c r="Y32" i="3"/>
  <c r="Y31" i="3"/>
  <c r="Y30" i="3"/>
  <c r="Y29" i="3"/>
  <c r="AD79" i="3"/>
  <c r="AD80" i="3"/>
  <c r="AD81" i="3"/>
  <c r="AD82" i="3"/>
  <c r="AD83" i="3"/>
  <c r="AD84" i="3"/>
  <c r="AD85" i="3"/>
  <c r="AD86" i="3"/>
  <c r="AD87" i="3"/>
  <c r="AD88" i="3"/>
  <c r="AD89" i="3"/>
  <c r="AD90" i="3"/>
  <c r="AD91" i="3"/>
  <c r="AD92" i="3"/>
  <c r="AB79" i="3"/>
  <c r="AB80" i="3"/>
  <c r="AB81" i="3"/>
  <c r="AB82" i="3"/>
  <c r="AB83" i="3"/>
  <c r="AB84" i="3"/>
  <c r="AB85" i="3"/>
  <c r="AB86" i="3"/>
  <c r="AB87" i="3"/>
  <c r="AB88" i="3"/>
  <c r="AB89" i="3"/>
  <c r="AB90" i="3"/>
  <c r="AB91" i="3"/>
  <c r="AB92" i="3"/>
  <c r="AD78" i="3"/>
  <c r="AB78" i="3"/>
  <c r="Z79" i="3"/>
  <c r="Z80" i="3"/>
  <c r="Z81" i="3"/>
  <c r="Z82" i="3"/>
  <c r="Z83" i="3"/>
  <c r="Z84" i="3"/>
  <c r="Z85" i="3"/>
  <c r="Z86" i="3"/>
  <c r="Z87" i="3"/>
  <c r="Z88" i="3"/>
  <c r="Z89" i="3"/>
  <c r="Z90" i="3"/>
  <c r="Z91" i="3"/>
  <c r="Z92" i="3"/>
  <c r="Z78" i="3"/>
  <c r="X81" i="3"/>
  <c r="X82" i="3"/>
  <c r="X83" i="3"/>
  <c r="X84" i="3"/>
  <c r="X85" i="3"/>
  <c r="X86" i="3"/>
  <c r="X87" i="3"/>
  <c r="X88" i="3"/>
  <c r="X89" i="3"/>
  <c r="X90" i="3"/>
  <c r="X91" i="3"/>
  <c r="X92" i="3"/>
  <c r="X79" i="3"/>
  <c r="X80" i="3"/>
  <c r="X78" i="3"/>
  <c r="U90" i="3"/>
  <c r="U87" i="3"/>
  <c r="U84" i="3"/>
  <c r="U81" i="3"/>
  <c r="U78" i="3"/>
  <c r="U75" i="3"/>
  <c r="AB69" i="3"/>
  <c r="AB68" i="3"/>
  <c r="AB67" i="3"/>
  <c r="AB66" i="3"/>
  <c r="AB65" i="3"/>
  <c r="AB64" i="3"/>
  <c r="U69" i="3"/>
  <c r="U68" i="3"/>
  <c r="U67" i="3"/>
  <c r="U66" i="3"/>
  <c r="U65" i="3"/>
  <c r="U64" i="3"/>
  <c r="AH28" i="3"/>
  <c r="AG28" i="3" s="1"/>
  <c r="AF28" i="3"/>
  <c r="AE28" i="3" s="1"/>
  <c r="AD28" i="3"/>
  <c r="AC28" i="3" s="1"/>
  <c r="AB28" i="3"/>
  <c r="AA28" i="3" s="1"/>
  <c r="Z28" i="3"/>
  <c r="Y28" i="3" s="1"/>
  <c r="X28" i="3"/>
  <c r="W28" i="3" s="1"/>
  <c r="AK18" i="3"/>
  <c r="AJ18" i="3"/>
  <c r="AI18" i="3"/>
  <c r="AH18" i="3"/>
  <c r="AG18" i="3"/>
  <c r="AF18" i="3"/>
  <c r="AB18" i="3"/>
  <c r="AA18" i="3"/>
  <c r="Z18" i="3"/>
  <c r="Y18" i="3"/>
  <c r="B22" i="3"/>
  <c r="K20" i="3" s="1"/>
  <c r="X18" i="3"/>
  <c r="W18" i="3"/>
  <c r="B191" i="3"/>
  <c r="N180" i="3" s="1"/>
  <c r="B188" i="3"/>
  <c r="P175" i="3" s="1"/>
  <c r="B185" i="3"/>
  <c r="O175" i="3" s="1"/>
  <c r="B182" i="3"/>
  <c r="M175" i="3" s="1"/>
  <c r="B179" i="3"/>
  <c r="J175" i="3" s="1"/>
  <c r="B176" i="3"/>
  <c r="I175" i="3" s="1"/>
  <c r="B151" i="3"/>
  <c r="N140" i="3" s="1"/>
  <c r="B148" i="3"/>
  <c r="M140" i="3" s="1"/>
  <c r="B145" i="3"/>
  <c r="O135" i="3" s="1"/>
  <c r="B142" i="3"/>
  <c r="M135" i="3" s="1"/>
  <c r="B139" i="3"/>
  <c r="J140" i="3" s="1"/>
  <c r="B136" i="3"/>
  <c r="I135" i="3" s="1"/>
  <c r="B111" i="3"/>
  <c r="N100" i="3" s="1"/>
  <c r="B108" i="3"/>
  <c r="M100" i="3" s="1"/>
  <c r="B105" i="3"/>
  <c r="O95" i="3" s="1"/>
  <c r="B102" i="3"/>
  <c r="K100" i="3" s="1"/>
  <c r="B99" i="3"/>
  <c r="K95" i="3" s="1"/>
  <c r="B96" i="3"/>
  <c r="I95" i="3" s="1"/>
  <c r="B71" i="3"/>
  <c r="S55" i="3" s="1"/>
  <c r="B68" i="3"/>
  <c r="M60" i="3" s="1"/>
  <c r="B65" i="3"/>
  <c r="L60" i="3" s="1"/>
  <c r="B62" i="3"/>
  <c r="M55" i="3" s="1"/>
  <c r="B59" i="3"/>
  <c r="J55" i="3" s="1"/>
  <c r="B56" i="3"/>
  <c r="I60" i="3" s="1"/>
  <c r="B31" i="3"/>
  <c r="N20" i="3" s="1"/>
  <c r="B28" i="3"/>
  <c r="M20" i="3" s="1"/>
  <c r="B25" i="3"/>
  <c r="L20" i="3" s="1"/>
  <c r="B19" i="3"/>
  <c r="K15" i="3" s="1"/>
  <c r="B16" i="3"/>
  <c r="I20" i="3" s="1"/>
  <c r="BK96" i="2"/>
  <c r="BK93" i="2"/>
  <c r="BK90" i="2"/>
  <c r="BK168" i="2" s="1"/>
  <c r="BK87" i="2"/>
  <c r="BK161" i="2" s="1"/>
  <c r="BK84" i="2"/>
  <c r="BK81" i="2"/>
  <c r="BK155" i="2" s="1"/>
  <c r="BK78" i="2"/>
  <c r="BK148" i="2" s="1"/>
  <c r="BK75" i="2"/>
  <c r="BK72" i="2"/>
  <c r="BK69" i="2"/>
  <c r="BK66" i="2"/>
  <c r="BK132" i="2" s="1"/>
  <c r="BK63" i="2"/>
  <c r="BK60" i="2"/>
  <c r="BK122" i="2" s="1"/>
  <c r="BK57" i="2"/>
  <c r="BK119" i="2" s="1"/>
  <c r="BK54" i="2"/>
  <c r="BK51" i="2"/>
  <c r="BK109" i="2" s="1"/>
  <c r="BK48" i="2"/>
  <c r="BK106" i="2" s="1"/>
  <c r="BK45" i="2"/>
  <c r="BJ176" i="2"/>
  <c r="BI176" i="2"/>
  <c r="BG176" i="2"/>
  <c r="BJ175" i="2"/>
  <c r="BI175" i="2"/>
  <c r="BG175" i="2"/>
  <c r="BJ174" i="2"/>
  <c r="BI174" i="2"/>
  <c r="BG174" i="2"/>
  <c r="BJ173" i="2"/>
  <c r="BI173" i="2"/>
  <c r="BG173" i="2"/>
  <c r="BJ172" i="2"/>
  <c r="BI172" i="2"/>
  <c r="BG172" i="2"/>
  <c r="BJ171" i="2"/>
  <c r="BI171" i="2"/>
  <c r="BG171" i="2"/>
  <c r="BJ170" i="2"/>
  <c r="BI170" i="2"/>
  <c r="BG170" i="2"/>
  <c r="BJ169" i="2"/>
  <c r="BI169" i="2"/>
  <c r="BG169" i="2"/>
  <c r="BJ168" i="2"/>
  <c r="BI168" i="2"/>
  <c r="BG168" i="2"/>
  <c r="BG166" i="2"/>
  <c r="BJ163" i="2"/>
  <c r="BI163" i="2"/>
  <c r="BG163" i="2"/>
  <c r="BJ162" i="2"/>
  <c r="BI162" i="2"/>
  <c r="BG162" i="2"/>
  <c r="BJ161" i="2"/>
  <c r="BI161" i="2"/>
  <c r="BG161" i="2"/>
  <c r="BJ160" i="2"/>
  <c r="BI160" i="2"/>
  <c r="BG160" i="2"/>
  <c r="BJ159" i="2"/>
  <c r="BI159" i="2"/>
  <c r="BG159" i="2"/>
  <c r="BJ158" i="2"/>
  <c r="BI158" i="2"/>
  <c r="BG158" i="2"/>
  <c r="BJ157" i="2"/>
  <c r="BI157" i="2"/>
  <c r="BG157" i="2"/>
  <c r="BJ156" i="2"/>
  <c r="BI156" i="2"/>
  <c r="BG156" i="2"/>
  <c r="BJ155" i="2"/>
  <c r="BI155" i="2"/>
  <c r="BG155" i="2"/>
  <c r="BG153" i="2"/>
  <c r="BJ150" i="2"/>
  <c r="BI150" i="2"/>
  <c r="BG150" i="2"/>
  <c r="BJ149" i="2"/>
  <c r="BI149" i="2"/>
  <c r="BG149" i="2"/>
  <c r="BJ148" i="2"/>
  <c r="BI148" i="2"/>
  <c r="BG148" i="2"/>
  <c r="BJ147" i="2"/>
  <c r="BI147" i="2"/>
  <c r="BG147" i="2"/>
  <c r="BJ146" i="2"/>
  <c r="BI146" i="2"/>
  <c r="BG146" i="2"/>
  <c r="BJ145" i="2"/>
  <c r="BI145" i="2"/>
  <c r="BG145" i="2"/>
  <c r="BJ144" i="2"/>
  <c r="BI144" i="2"/>
  <c r="BG144" i="2"/>
  <c r="BJ143" i="2"/>
  <c r="BI143" i="2"/>
  <c r="BG143" i="2"/>
  <c r="BJ142" i="2"/>
  <c r="BI142" i="2"/>
  <c r="BG142" i="2"/>
  <c r="BG140" i="2"/>
  <c r="BJ137" i="2"/>
  <c r="BI137" i="2"/>
  <c r="BG137" i="2"/>
  <c r="BJ136" i="2"/>
  <c r="BI136" i="2"/>
  <c r="BG136" i="2"/>
  <c r="BJ135" i="2"/>
  <c r="BI135" i="2"/>
  <c r="BG135" i="2"/>
  <c r="BJ134" i="2"/>
  <c r="BI134" i="2"/>
  <c r="BG134" i="2"/>
  <c r="BJ133" i="2"/>
  <c r="BI133" i="2"/>
  <c r="BG133" i="2"/>
  <c r="BJ132" i="2"/>
  <c r="BI132" i="2"/>
  <c r="BG132" i="2"/>
  <c r="BJ131" i="2"/>
  <c r="BI131" i="2"/>
  <c r="BG131" i="2"/>
  <c r="BJ130" i="2"/>
  <c r="BI130" i="2"/>
  <c r="BG130" i="2"/>
  <c r="BJ129" i="2"/>
  <c r="BI129" i="2"/>
  <c r="BG129" i="2"/>
  <c r="BG127" i="2"/>
  <c r="BJ124" i="2"/>
  <c r="BI124" i="2"/>
  <c r="BG124" i="2"/>
  <c r="BJ123" i="2"/>
  <c r="BI123" i="2"/>
  <c r="BG123" i="2"/>
  <c r="BJ122" i="2"/>
  <c r="BI122" i="2"/>
  <c r="BG122" i="2"/>
  <c r="BJ121" i="2"/>
  <c r="BI121" i="2"/>
  <c r="BG121" i="2"/>
  <c r="BJ120" i="2"/>
  <c r="BI120" i="2"/>
  <c r="BG120" i="2"/>
  <c r="BJ119" i="2"/>
  <c r="BI119" i="2"/>
  <c r="BG119" i="2"/>
  <c r="BJ118" i="2"/>
  <c r="BI118" i="2"/>
  <c r="BG118" i="2"/>
  <c r="BJ117" i="2"/>
  <c r="BI117" i="2"/>
  <c r="BG117" i="2"/>
  <c r="BJ116" i="2"/>
  <c r="BI116" i="2"/>
  <c r="BG116" i="2"/>
  <c r="BG114" i="2"/>
  <c r="BJ111" i="2"/>
  <c r="BI111" i="2"/>
  <c r="BG111" i="2"/>
  <c r="BJ110" i="2"/>
  <c r="BI110" i="2"/>
  <c r="BG110" i="2"/>
  <c r="BJ109" i="2"/>
  <c r="BI109" i="2"/>
  <c r="BG109" i="2"/>
  <c r="BJ108" i="2"/>
  <c r="BI108" i="2"/>
  <c r="BG108" i="2"/>
  <c r="BJ107" i="2"/>
  <c r="BI107" i="2"/>
  <c r="BG107" i="2"/>
  <c r="BJ106" i="2"/>
  <c r="BI106" i="2"/>
  <c r="BG106" i="2"/>
  <c r="BJ105" i="2"/>
  <c r="BI105" i="2"/>
  <c r="BG105" i="2"/>
  <c r="BJ104" i="2"/>
  <c r="BI104" i="2"/>
  <c r="BG104" i="2"/>
  <c r="BJ103" i="2"/>
  <c r="BI103" i="2"/>
  <c r="BG103" i="2"/>
  <c r="BG101" i="2"/>
  <c r="BG43" i="2"/>
  <c r="AV166" i="2"/>
  <c r="AV153" i="2"/>
  <c r="AV140" i="2"/>
  <c r="AV127" i="2"/>
  <c r="AV114" i="2"/>
  <c r="AV101" i="2"/>
  <c r="AV43" i="2"/>
  <c r="AK43" i="2"/>
  <c r="Z43" i="2"/>
  <c r="O43" i="2"/>
  <c r="C43" i="2"/>
  <c r="AX106" i="2"/>
  <c r="AD54" i="2"/>
  <c r="AD116" i="2" s="1"/>
  <c r="B166" i="2"/>
  <c r="B153" i="2"/>
  <c r="B140" i="2"/>
  <c r="B127" i="2"/>
  <c r="B114" i="2"/>
  <c r="B101" i="2"/>
  <c r="B90" i="2"/>
  <c r="C174" i="3" s="1"/>
  <c r="B81" i="2"/>
  <c r="C134" i="3" s="1"/>
  <c r="B72" i="2"/>
  <c r="C94" i="3" s="1"/>
  <c r="B63" i="2"/>
  <c r="C54" i="3" s="1"/>
  <c r="V20" i="3" s="1"/>
  <c r="W63" i="3" s="1"/>
  <c r="B54" i="2"/>
  <c r="C14" i="3" s="1"/>
  <c r="V19" i="3" s="1"/>
  <c r="V63" i="3" s="1"/>
  <c r="B45" i="2"/>
  <c r="AZ96" i="2"/>
  <c r="AZ93" i="2"/>
  <c r="AZ90" i="2"/>
  <c r="AZ168" i="2" s="1"/>
  <c r="AZ87" i="2"/>
  <c r="AZ84" i="2"/>
  <c r="AZ158" i="2" s="1"/>
  <c r="AZ81" i="2"/>
  <c r="AZ155" i="2" s="1"/>
  <c r="AZ78" i="2"/>
  <c r="AZ75" i="2"/>
  <c r="AZ72" i="2"/>
  <c r="AZ69" i="2"/>
  <c r="AZ66" i="2"/>
  <c r="AZ132" i="2" s="1"/>
  <c r="AZ63" i="2"/>
  <c r="AZ60" i="2"/>
  <c r="AZ122" i="2" s="1"/>
  <c r="AZ57" i="2"/>
  <c r="AZ54" i="2"/>
  <c r="AZ51" i="2"/>
  <c r="AZ109" i="2" s="1"/>
  <c r="AZ48" i="2"/>
  <c r="AZ106" i="2" s="1"/>
  <c r="AZ45" i="2"/>
  <c r="AZ103" i="2" s="1"/>
  <c r="AO96" i="2"/>
  <c r="AO174" i="2" s="1"/>
  <c r="AO93" i="2"/>
  <c r="AO90" i="2"/>
  <c r="AO87" i="2"/>
  <c r="AO161" i="2" s="1"/>
  <c r="AO84" i="2"/>
  <c r="AO81" i="2"/>
  <c r="AO155" i="2" s="1"/>
  <c r="AO78" i="2"/>
  <c r="AO75" i="2"/>
  <c r="AO72" i="2"/>
  <c r="AO66" i="2"/>
  <c r="AO132" i="2" s="1"/>
  <c r="AO63" i="2"/>
  <c r="AO60" i="2"/>
  <c r="AO122" i="2" s="1"/>
  <c r="AO57" i="2"/>
  <c r="AO54" i="2"/>
  <c r="AO116" i="2" s="1"/>
  <c r="AO51" i="2"/>
  <c r="AO109" i="2" s="1"/>
  <c r="AO48" i="2"/>
  <c r="AO106" i="2" s="1"/>
  <c r="AO45" i="2"/>
  <c r="AC109" i="2"/>
  <c r="Z103" i="2"/>
  <c r="AD96" i="2"/>
  <c r="AD174" i="2" s="1"/>
  <c r="AD93" i="2"/>
  <c r="AD90" i="2"/>
  <c r="AD168" i="2" s="1"/>
  <c r="AD87" i="2"/>
  <c r="AD84" i="2"/>
  <c r="AD158" i="2" s="1"/>
  <c r="AD81" i="2"/>
  <c r="AD155" i="2" s="1"/>
  <c r="AD78" i="2"/>
  <c r="AD75" i="2"/>
  <c r="AD145" i="2" s="1"/>
  <c r="AD72" i="2"/>
  <c r="AD69" i="2"/>
  <c r="AD66" i="2"/>
  <c r="AD63" i="2"/>
  <c r="AD60" i="2"/>
  <c r="AD57" i="2"/>
  <c r="AY176" i="2"/>
  <c r="AX176" i="2"/>
  <c r="AV176" i="2"/>
  <c r="AY175" i="2"/>
  <c r="AX175" i="2"/>
  <c r="AV175" i="2"/>
  <c r="AY174" i="2"/>
  <c r="AX174" i="2"/>
  <c r="AV174" i="2"/>
  <c r="AY173" i="2"/>
  <c r="AX173" i="2"/>
  <c r="AV173" i="2"/>
  <c r="AY172" i="2"/>
  <c r="AX172" i="2"/>
  <c r="AV172" i="2"/>
  <c r="AY171" i="2"/>
  <c r="AX171" i="2"/>
  <c r="AV171" i="2"/>
  <c r="AY170" i="2"/>
  <c r="AX170" i="2"/>
  <c r="AV170" i="2"/>
  <c r="AY169" i="2"/>
  <c r="AX169" i="2"/>
  <c r="AV169" i="2"/>
  <c r="AY168" i="2"/>
  <c r="AX168" i="2"/>
  <c r="AV168" i="2"/>
  <c r="AY163" i="2"/>
  <c r="AX163" i="2"/>
  <c r="AV163" i="2"/>
  <c r="AY162" i="2"/>
  <c r="AX162" i="2"/>
  <c r="AV162" i="2"/>
  <c r="AY161" i="2"/>
  <c r="AX161" i="2"/>
  <c r="AV161" i="2"/>
  <c r="AY160" i="2"/>
  <c r="AX160" i="2"/>
  <c r="AV160" i="2"/>
  <c r="AY159" i="2"/>
  <c r="AX159" i="2"/>
  <c r="AV159" i="2"/>
  <c r="AY158" i="2"/>
  <c r="AX158" i="2"/>
  <c r="AV158" i="2"/>
  <c r="AY157" i="2"/>
  <c r="AX157" i="2"/>
  <c r="AV157" i="2"/>
  <c r="AY156" i="2"/>
  <c r="AX156" i="2"/>
  <c r="AV156" i="2"/>
  <c r="AY155" i="2"/>
  <c r="AX155" i="2"/>
  <c r="AV155" i="2"/>
  <c r="AY150" i="2"/>
  <c r="AX150" i="2"/>
  <c r="AV150" i="2"/>
  <c r="AY149" i="2"/>
  <c r="AX149" i="2"/>
  <c r="AV149" i="2"/>
  <c r="AY148" i="2"/>
  <c r="AX148" i="2"/>
  <c r="AV148" i="2"/>
  <c r="AY147" i="2"/>
  <c r="AX147" i="2"/>
  <c r="AV147" i="2"/>
  <c r="AY146" i="2"/>
  <c r="AX146" i="2"/>
  <c r="AV146" i="2"/>
  <c r="AY145" i="2"/>
  <c r="AX145" i="2"/>
  <c r="AV145" i="2"/>
  <c r="AY144" i="2"/>
  <c r="AX144" i="2"/>
  <c r="AV144" i="2"/>
  <c r="AY143" i="2"/>
  <c r="AX143" i="2"/>
  <c r="AV143" i="2"/>
  <c r="AY142" i="2"/>
  <c r="AX142" i="2"/>
  <c r="AV142" i="2"/>
  <c r="AY137" i="2"/>
  <c r="AX137" i="2"/>
  <c r="AV137" i="2"/>
  <c r="AY136" i="2"/>
  <c r="AX136" i="2"/>
  <c r="AV136" i="2"/>
  <c r="AY135" i="2"/>
  <c r="AX135" i="2"/>
  <c r="AV135" i="2"/>
  <c r="AY134" i="2"/>
  <c r="AX134" i="2"/>
  <c r="AV134" i="2"/>
  <c r="AY133" i="2"/>
  <c r="AX133" i="2"/>
  <c r="AV133" i="2"/>
  <c r="AY132" i="2"/>
  <c r="AX132" i="2"/>
  <c r="AV132" i="2"/>
  <c r="AY131" i="2"/>
  <c r="AX131" i="2"/>
  <c r="AV131" i="2"/>
  <c r="AY130" i="2"/>
  <c r="AX130" i="2"/>
  <c r="AV130" i="2"/>
  <c r="AY129" i="2"/>
  <c r="AX129" i="2"/>
  <c r="AV129" i="2"/>
  <c r="AY124" i="2"/>
  <c r="AX124" i="2"/>
  <c r="AV124" i="2"/>
  <c r="AY123" i="2"/>
  <c r="AX123" i="2"/>
  <c r="AV123" i="2"/>
  <c r="AY122" i="2"/>
  <c r="AX122" i="2"/>
  <c r="AV122" i="2"/>
  <c r="AY121" i="2"/>
  <c r="AX121" i="2"/>
  <c r="AV121" i="2"/>
  <c r="AY120" i="2"/>
  <c r="AX120" i="2"/>
  <c r="AV120" i="2"/>
  <c r="AY119" i="2"/>
  <c r="AX119" i="2"/>
  <c r="AV119" i="2"/>
  <c r="AY118" i="2"/>
  <c r="AX118" i="2"/>
  <c r="AV118" i="2"/>
  <c r="AY117" i="2"/>
  <c r="AX117" i="2"/>
  <c r="AV117" i="2"/>
  <c r="AY116" i="2"/>
  <c r="AX116" i="2"/>
  <c r="AV116" i="2"/>
  <c r="AY111" i="2"/>
  <c r="AX111" i="2"/>
  <c r="AV111" i="2"/>
  <c r="AY110" i="2"/>
  <c r="AX110" i="2"/>
  <c r="AV110" i="2"/>
  <c r="AY109" i="2"/>
  <c r="AX109" i="2"/>
  <c r="AV109" i="2"/>
  <c r="AY108" i="2"/>
  <c r="AX108" i="2"/>
  <c r="AV108" i="2"/>
  <c r="AY107" i="2"/>
  <c r="AX107" i="2"/>
  <c r="AV107" i="2"/>
  <c r="AY106" i="2"/>
  <c r="AV106" i="2"/>
  <c r="AY105" i="2"/>
  <c r="AX105" i="2"/>
  <c r="AV105" i="2"/>
  <c r="AY104" i="2"/>
  <c r="AX104" i="2"/>
  <c r="AV104" i="2"/>
  <c r="AY103" i="2"/>
  <c r="AX103" i="2"/>
  <c r="AV103" i="2"/>
  <c r="AN176" i="2"/>
  <c r="AM176" i="2"/>
  <c r="AK176" i="2"/>
  <c r="AN175" i="2"/>
  <c r="AM175" i="2"/>
  <c r="AK175" i="2"/>
  <c r="AN174" i="2"/>
  <c r="AM174" i="2"/>
  <c r="AK174" i="2"/>
  <c r="AN173" i="2"/>
  <c r="AM173" i="2"/>
  <c r="AK173" i="2"/>
  <c r="AN172" i="2"/>
  <c r="AM172" i="2"/>
  <c r="AK172" i="2"/>
  <c r="AN171" i="2"/>
  <c r="AM171" i="2"/>
  <c r="AK171" i="2"/>
  <c r="AN170" i="2"/>
  <c r="AM170" i="2"/>
  <c r="AK170" i="2"/>
  <c r="AN169" i="2"/>
  <c r="AM169" i="2"/>
  <c r="AK169" i="2"/>
  <c r="AN168" i="2"/>
  <c r="AM168" i="2"/>
  <c r="AK168" i="2"/>
  <c r="AN163" i="2"/>
  <c r="AM163" i="2"/>
  <c r="AK163" i="2"/>
  <c r="AN162" i="2"/>
  <c r="AM162" i="2"/>
  <c r="AK162" i="2"/>
  <c r="AN161" i="2"/>
  <c r="AM161" i="2"/>
  <c r="AK161" i="2"/>
  <c r="AN160" i="2"/>
  <c r="AM160" i="2"/>
  <c r="AK160" i="2"/>
  <c r="AN159" i="2"/>
  <c r="AM159" i="2"/>
  <c r="AK159" i="2"/>
  <c r="AN158" i="2"/>
  <c r="AM158" i="2"/>
  <c r="AK158" i="2"/>
  <c r="AN157" i="2"/>
  <c r="AM157" i="2"/>
  <c r="AK157" i="2"/>
  <c r="AN156" i="2"/>
  <c r="AM156" i="2"/>
  <c r="AK156" i="2"/>
  <c r="AN155" i="2"/>
  <c r="AM155" i="2"/>
  <c r="AK155" i="2"/>
  <c r="AN150" i="2"/>
  <c r="AM150" i="2"/>
  <c r="AK150" i="2"/>
  <c r="AN149" i="2"/>
  <c r="AM149" i="2"/>
  <c r="AK149" i="2"/>
  <c r="AN148" i="2"/>
  <c r="AM148" i="2"/>
  <c r="AK148" i="2"/>
  <c r="AN147" i="2"/>
  <c r="AM147" i="2"/>
  <c r="AK147" i="2"/>
  <c r="AN146" i="2"/>
  <c r="AM146" i="2"/>
  <c r="AK146" i="2"/>
  <c r="AN145" i="2"/>
  <c r="AM145" i="2"/>
  <c r="AK145" i="2"/>
  <c r="AN144" i="2"/>
  <c r="AM144" i="2"/>
  <c r="AK144" i="2"/>
  <c r="AN143" i="2"/>
  <c r="AM143" i="2"/>
  <c r="AK143" i="2"/>
  <c r="AN142" i="2"/>
  <c r="AM142" i="2"/>
  <c r="AK142" i="2"/>
  <c r="AN137" i="2"/>
  <c r="AM137" i="2"/>
  <c r="AK137" i="2"/>
  <c r="AN136" i="2"/>
  <c r="AM136" i="2"/>
  <c r="AK136" i="2"/>
  <c r="AN135" i="2"/>
  <c r="AM135" i="2"/>
  <c r="AK135" i="2"/>
  <c r="AN134" i="2"/>
  <c r="AM134" i="2"/>
  <c r="AK134" i="2"/>
  <c r="AN133" i="2"/>
  <c r="AM133" i="2"/>
  <c r="AK133" i="2"/>
  <c r="AN132" i="2"/>
  <c r="AM132" i="2"/>
  <c r="AK132" i="2"/>
  <c r="AN131" i="2"/>
  <c r="AM131" i="2"/>
  <c r="AK131" i="2"/>
  <c r="AN130" i="2"/>
  <c r="AM130" i="2"/>
  <c r="AK130" i="2"/>
  <c r="AN129" i="2"/>
  <c r="AM129" i="2"/>
  <c r="AK129" i="2"/>
  <c r="AN124" i="2"/>
  <c r="AM124" i="2"/>
  <c r="AK124" i="2"/>
  <c r="AN123" i="2"/>
  <c r="AM123" i="2"/>
  <c r="AK123" i="2"/>
  <c r="AN122" i="2"/>
  <c r="AM122" i="2"/>
  <c r="AK122" i="2"/>
  <c r="AN121" i="2"/>
  <c r="AM121" i="2"/>
  <c r="AK121" i="2"/>
  <c r="AN120" i="2"/>
  <c r="AM120" i="2"/>
  <c r="AK120" i="2"/>
  <c r="AN119" i="2"/>
  <c r="AM119" i="2"/>
  <c r="AK119" i="2"/>
  <c r="AN118" i="2"/>
  <c r="AM118" i="2"/>
  <c r="AK118" i="2"/>
  <c r="AN117" i="2"/>
  <c r="AM117" i="2"/>
  <c r="AK117" i="2"/>
  <c r="AN116" i="2"/>
  <c r="AM116" i="2"/>
  <c r="AK116" i="2"/>
  <c r="AN111" i="2"/>
  <c r="AM111" i="2"/>
  <c r="AK111" i="2"/>
  <c r="AN110" i="2"/>
  <c r="AM110" i="2"/>
  <c r="AK110" i="2"/>
  <c r="AN109" i="2"/>
  <c r="AM109" i="2"/>
  <c r="AK109" i="2"/>
  <c r="AN108" i="2"/>
  <c r="AM108" i="2"/>
  <c r="AK108" i="2"/>
  <c r="AN107" i="2"/>
  <c r="AM107" i="2"/>
  <c r="AK107" i="2"/>
  <c r="AN106" i="2"/>
  <c r="AM106" i="2"/>
  <c r="AK106" i="2"/>
  <c r="AN105" i="2"/>
  <c r="AM105" i="2"/>
  <c r="AK105" i="2"/>
  <c r="AN104" i="2"/>
  <c r="AM104" i="2"/>
  <c r="AK104" i="2"/>
  <c r="AN103" i="2"/>
  <c r="AM103" i="2"/>
  <c r="AK103" i="2"/>
  <c r="AO69" i="2"/>
  <c r="AO135" i="2" s="1"/>
  <c r="AC176" i="2"/>
  <c r="AB176" i="2"/>
  <c r="Z176" i="2"/>
  <c r="AC175" i="2"/>
  <c r="AB175" i="2"/>
  <c r="Z175" i="2"/>
  <c r="AC174" i="2"/>
  <c r="AB174" i="2"/>
  <c r="Z174" i="2"/>
  <c r="AC173" i="2"/>
  <c r="AB173" i="2"/>
  <c r="Z173" i="2"/>
  <c r="AC172" i="2"/>
  <c r="AB172" i="2"/>
  <c r="Z172" i="2"/>
  <c r="AC171" i="2"/>
  <c r="AB171" i="2"/>
  <c r="Z171" i="2"/>
  <c r="AC170" i="2"/>
  <c r="AB170" i="2"/>
  <c r="Z170" i="2"/>
  <c r="AC169" i="2"/>
  <c r="AB169" i="2"/>
  <c r="Z169" i="2"/>
  <c r="AC168" i="2"/>
  <c r="AB168" i="2"/>
  <c r="Z168" i="2"/>
  <c r="AC163" i="2"/>
  <c r="AB163" i="2"/>
  <c r="Z163" i="2"/>
  <c r="AC162" i="2"/>
  <c r="AB162" i="2"/>
  <c r="Z162" i="2"/>
  <c r="AC161" i="2"/>
  <c r="AB161" i="2"/>
  <c r="Z161" i="2"/>
  <c r="AC160" i="2"/>
  <c r="AB160" i="2"/>
  <c r="Z160" i="2"/>
  <c r="AC159" i="2"/>
  <c r="AB159" i="2"/>
  <c r="Z159" i="2"/>
  <c r="AC158" i="2"/>
  <c r="AB158" i="2"/>
  <c r="Z158" i="2"/>
  <c r="AC157" i="2"/>
  <c r="AB157" i="2"/>
  <c r="Z157" i="2"/>
  <c r="AC156" i="2"/>
  <c r="AB156" i="2"/>
  <c r="Z156" i="2"/>
  <c r="AC155" i="2"/>
  <c r="AB155" i="2"/>
  <c r="Z155" i="2"/>
  <c r="AC150" i="2"/>
  <c r="AB150" i="2"/>
  <c r="Z150" i="2"/>
  <c r="AC149" i="2"/>
  <c r="AB149" i="2"/>
  <c r="Z149" i="2"/>
  <c r="AC148" i="2"/>
  <c r="AB148" i="2"/>
  <c r="Z148" i="2"/>
  <c r="AC147" i="2"/>
  <c r="AB147" i="2"/>
  <c r="Z147" i="2"/>
  <c r="AC146" i="2"/>
  <c r="AB146" i="2"/>
  <c r="Z146" i="2"/>
  <c r="AC145" i="2"/>
  <c r="AB145" i="2"/>
  <c r="Z145" i="2"/>
  <c r="AC144" i="2"/>
  <c r="AB144" i="2"/>
  <c r="Z144" i="2"/>
  <c r="AC143" i="2"/>
  <c r="AB143" i="2"/>
  <c r="Z143" i="2"/>
  <c r="AC142" i="2"/>
  <c r="AB142" i="2"/>
  <c r="Z142" i="2"/>
  <c r="AC137" i="2"/>
  <c r="AB137" i="2"/>
  <c r="Z137" i="2"/>
  <c r="AC136" i="2"/>
  <c r="AB136" i="2"/>
  <c r="Z136" i="2"/>
  <c r="AC135" i="2"/>
  <c r="AB135" i="2"/>
  <c r="Z135" i="2"/>
  <c r="AC134" i="2"/>
  <c r="AB134" i="2"/>
  <c r="Z134" i="2"/>
  <c r="AC133" i="2"/>
  <c r="AB133" i="2"/>
  <c r="Z133" i="2"/>
  <c r="AC132" i="2"/>
  <c r="AB132" i="2"/>
  <c r="Z132" i="2"/>
  <c r="AC131" i="2"/>
  <c r="AB131" i="2"/>
  <c r="Z131" i="2"/>
  <c r="AC130" i="2"/>
  <c r="AB130" i="2"/>
  <c r="Z130" i="2"/>
  <c r="AC129" i="2"/>
  <c r="AB129" i="2"/>
  <c r="Z129" i="2"/>
  <c r="AC124" i="2"/>
  <c r="AB124" i="2"/>
  <c r="Z124" i="2"/>
  <c r="AC123" i="2"/>
  <c r="AB123" i="2"/>
  <c r="Z123" i="2"/>
  <c r="AC122" i="2"/>
  <c r="AB122" i="2"/>
  <c r="Z122" i="2"/>
  <c r="AC121" i="2"/>
  <c r="AB121" i="2"/>
  <c r="Z121" i="2"/>
  <c r="AC120" i="2"/>
  <c r="AB120" i="2"/>
  <c r="Z120" i="2"/>
  <c r="AC119" i="2"/>
  <c r="AB119" i="2"/>
  <c r="Z119" i="2"/>
  <c r="AC118" i="2"/>
  <c r="AB118" i="2"/>
  <c r="Z118" i="2"/>
  <c r="AC117" i="2"/>
  <c r="AB117" i="2"/>
  <c r="Z117" i="2"/>
  <c r="AC116" i="2"/>
  <c r="AB116" i="2"/>
  <c r="Z116" i="2"/>
  <c r="AC111" i="2"/>
  <c r="AB111" i="2"/>
  <c r="Z111" i="2"/>
  <c r="AC110" i="2"/>
  <c r="AB110" i="2"/>
  <c r="Z110" i="2"/>
  <c r="AB109" i="2"/>
  <c r="Z109" i="2"/>
  <c r="AC108" i="2"/>
  <c r="AB108" i="2"/>
  <c r="Z108" i="2"/>
  <c r="AC107" i="2"/>
  <c r="AB107" i="2"/>
  <c r="Z107" i="2"/>
  <c r="AC106" i="2"/>
  <c r="AB106" i="2"/>
  <c r="Z106" i="2"/>
  <c r="AC105" i="2"/>
  <c r="AB105" i="2"/>
  <c r="Z105" i="2"/>
  <c r="AC104" i="2"/>
  <c r="AB104" i="2"/>
  <c r="Z104" i="2"/>
  <c r="AC103" i="2"/>
  <c r="AB103" i="2"/>
  <c r="AD51" i="2"/>
  <c r="AD48" i="2"/>
  <c r="AD45" i="2"/>
  <c r="O176" i="2"/>
  <c r="Q176" i="2"/>
  <c r="R176" i="2"/>
  <c r="O169" i="2"/>
  <c r="Q169" i="2"/>
  <c r="R169" i="2"/>
  <c r="O170" i="2"/>
  <c r="Q170" i="2"/>
  <c r="R170" i="2"/>
  <c r="O171" i="2"/>
  <c r="Q171" i="2"/>
  <c r="R171" i="2"/>
  <c r="O172" i="2"/>
  <c r="Q172" i="2"/>
  <c r="R172" i="2"/>
  <c r="O173" i="2"/>
  <c r="Q173" i="2"/>
  <c r="R173" i="2"/>
  <c r="O174" i="2"/>
  <c r="Q174" i="2"/>
  <c r="R174" i="2"/>
  <c r="O175" i="2"/>
  <c r="Q175" i="2"/>
  <c r="R175" i="2"/>
  <c r="Q168" i="2"/>
  <c r="R168" i="2"/>
  <c r="O168" i="2"/>
  <c r="C169" i="2"/>
  <c r="E169" i="2"/>
  <c r="F169" i="2"/>
  <c r="C170" i="2"/>
  <c r="E170" i="2"/>
  <c r="F170" i="2"/>
  <c r="C171" i="2"/>
  <c r="E171" i="2"/>
  <c r="F171" i="2"/>
  <c r="C172" i="2"/>
  <c r="E172" i="2"/>
  <c r="F172" i="2"/>
  <c r="C173" i="2"/>
  <c r="E173" i="2"/>
  <c r="F173" i="2"/>
  <c r="C174" i="2"/>
  <c r="E174" i="2"/>
  <c r="F174" i="2"/>
  <c r="C175" i="2"/>
  <c r="E175" i="2"/>
  <c r="F175" i="2"/>
  <c r="C176" i="2"/>
  <c r="E176" i="2"/>
  <c r="F176" i="2"/>
  <c r="E168" i="2"/>
  <c r="F168" i="2"/>
  <c r="C168" i="2"/>
  <c r="O158" i="2"/>
  <c r="Q158" i="2"/>
  <c r="R158" i="2"/>
  <c r="O159" i="2"/>
  <c r="Q159" i="2"/>
  <c r="R159" i="2"/>
  <c r="O160" i="2"/>
  <c r="Q160" i="2"/>
  <c r="R160" i="2"/>
  <c r="O161" i="2"/>
  <c r="Q161" i="2"/>
  <c r="R161" i="2"/>
  <c r="O162" i="2"/>
  <c r="Q162" i="2"/>
  <c r="R162" i="2"/>
  <c r="O163" i="2"/>
  <c r="Q163" i="2"/>
  <c r="R163" i="2"/>
  <c r="Q157" i="2"/>
  <c r="R157" i="2"/>
  <c r="Q156" i="2"/>
  <c r="R156" i="2"/>
  <c r="R155" i="2"/>
  <c r="Q155" i="2"/>
  <c r="O157" i="2"/>
  <c r="O156" i="2"/>
  <c r="O155" i="2"/>
  <c r="F158" i="2"/>
  <c r="F159" i="2"/>
  <c r="F160" i="2"/>
  <c r="F161" i="2"/>
  <c r="F162" i="2"/>
  <c r="F163" i="2"/>
  <c r="E158" i="2"/>
  <c r="E159" i="2"/>
  <c r="E160" i="2"/>
  <c r="E161" i="2"/>
  <c r="E162" i="2"/>
  <c r="E163" i="2"/>
  <c r="C158" i="2"/>
  <c r="C159" i="2"/>
  <c r="C160" i="2"/>
  <c r="C161" i="2"/>
  <c r="C162" i="2"/>
  <c r="C163" i="2"/>
  <c r="F157" i="2"/>
  <c r="F156" i="2"/>
  <c r="F155" i="2"/>
  <c r="E157" i="2"/>
  <c r="E156" i="2"/>
  <c r="E155" i="2"/>
  <c r="C157" i="2"/>
  <c r="C156" i="2"/>
  <c r="C155" i="2"/>
  <c r="R145" i="2"/>
  <c r="R146" i="2"/>
  <c r="R147" i="2"/>
  <c r="R148" i="2"/>
  <c r="R149" i="2"/>
  <c r="R150" i="2"/>
  <c r="Q150" i="2"/>
  <c r="Q145" i="2"/>
  <c r="Q146" i="2"/>
  <c r="Q147" i="2"/>
  <c r="Q148" i="2"/>
  <c r="Q149" i="2"/>
  <c r="O145" i="2"/>
  <c r="O146" i="2"/>
  <c r="O147" i="2"/>
  <c r="O148" i="2"/>
  <c r="O149" i="2"/>
  <c r="O150" i="2"/>
  <c r="R144" i="2"/>
  <c r="R143" i="2"/>
  <c r="R142" i="2"/>
  <c r="Q144" i="2"/>
  <c r="Q143" i="2"/>
  <c r="Q142" i="2"/>
  <c r="O144" i="2"/>
  <c r="O143" i="2"/>
  <c r="O142" i="2"/>
  <c r="F145" i="2"/>
  <c r="F146" i="2"/>
  <c r="F147" i="2"/>
  <c r="F148" i="2"/>
  <c r="F149" i="2"/>
  <c r="F150" i="2"/>
  <c r="E145" i="2"/>
  <c r="E146" i="2"/>
  <c r="E147" i="2"/>
  <c r="E148" i="2"/>
  <c r="E149" i="2"/>
  <c r="E150" i="2"/>
  <c r="C145" i="2"/>
  <c r="C146" i="2"/>
  <c r="C147" i="2"/>
  <c r="C148" i="2"/>
  <c r="C149" i="2"/>
  <c r="C150" i="2"/>
  <c r="F144" i="2"/>
  <c r="F143" i="2"/>
  <c r="F142" i="2"/>
  <c r="E144" i="2"/>
  <c r="E143" i="2"/>
  <c r="E142" i="2"/>
  <c r="C144" i="2"/>
  <c r="C143" i="2"/>
  <c r="C142" i="2"/>
  <c r="R132" i="2"/>
  <c r="R133" i="2"/>
  <c r="R134" i="2"/>
  <c r="R135" i="2"/>
  <c r="R136" i="2"/>
  <c r="R137" i="2"/>
  <c r="Q132" i="2"/>
  <c r="Q133" i="2"/>
  <c r="Q134" i="2"/>
  <c r="Q135" i="2"/>
  <c r="Q136" i="2"/>
  <c r="Q137" i="2"/>
  <c r="O132" i="2"/>
  <c r="O133" i="2"/>
  <c r="O134" i="2"/>
  <c r="O135" i="2"/>
  <c r="O136" i="2"/>
  <c r="O137" i="2"/>
  <c r="R131" i="2"/>
  <c r="R130" i="2"/>
  <c r="R129" i="2"/>
  <c r="Q131" i="2"/>
  <c r="Q130" i="2"/>
  <c r="Q129" i="2"/>
  <c r="O131" i="2"/>
  <c r="O130" i="2"/>
  <c r="O129" i="2"/>
  <c r="F132" i="2"/>
  <c r="F133" i="2"/>
  <c r="F134" i="2"/>
  <c r="F135" i="2"/>
  <c r="F136" i="2"/>
  <c r="F137" i="2"/>
  <c r="E132" i="2"/>
  <c r="E133" i="2"/>
  <c r="E134" i="2"/>
  <c r="E135" i="2"/>
  <c r="E136" i="2"/>
  <c r="E137" i="2"/>
  <c r="C132" i="2"/>
  <c r="C133" i="2"/>
  <c r="C134" i="2"/>
  <c r="C135" i="2"/>
  <c r="C136" i="2"/>
  <c r="C137" i="2"/>
  <c r="F131" i="2"/>
  <c r="F130" i="2"/>
  <c r="F129" i="2"/>
  <c r="E131" i="2"/>
  <c r="E130" i="2"/>
  <c r="E129" i="2"/>
  <c r="C131" i="2"/>
  <c r="C130" i="2"/>
  <c r="C129" i="2"/>
  <c r="R119" i="2"/>
  <c r="R120" i="2"/>
  <c r="R121" i="2"/>
  <c r="R122" i="2"/>
  <c r="R123" i="2"/>
  <c r="R124" i="2"/>
  <c r="Q119" i="2"/>
  <c r="Q120" i="2"/>
  <c r="Q121" i="2"/>
  <c r="Q122" i="2"/>
  <c r="Q123" i="2"/>
  <c r="Q124" i="2"/>
  <c r="O119" i="2"/>
  <c r="O120" i="2"/>
  <c r="O121" i="2"/>
  <c r="O122" i="2"/>
  <c r="O123" i="2"/>
  <c r="O124" i="2"/>
  <c r="R118" i="2"/>
  <c r="R117" i="2"/>
  <c r="R116" i="2"/>
  <c r="Q118" i="2"/>
  <c r="Q117" i="2"/>
  <c r="Q116" i="2"/>
  <c r="O118" i="2"/>
  <c r="O117" i="2"/>
  <c r="O116" i="2"/>
  <c r="F119" i="2"/>
  <c r="F120" i="2"/>
  <c r="F121" i="2"/>
  <c r="F122" i="2"/>
  <c r="F123" i="2"/>
  <c r="F124" i="2"/>
  <c r="E119" i="2"/>
  <c r="E120" i="2"/>
  <c r="E121" i="2"/>
  <c r="E122" i="2"/>
  <c r="E123" i="2"/>
  <c r="E124" i="2"/>
  <c r="C119" i="2"/>
  <c r="C120" i="2"/>
  <c r="C121" i="2"/>
  <c r="C122" i="2"/>
  <c r="C123" i="2"/>
  <c r="C124" i="2"/>
  <c r="F118" i="2"/>
  <c r="F117" i="2"/>
  <c r="F116" i="2"/>
  <c r="E118" i="2"/>
  <c r="E117" i="2"/>
  <c r="E116" i="2"/>
  <c r="C118" i="2"/>
  <c r="C117" i="2"/>
  <c r="C116" i="2"/>
  <c r="R106" i="2"/>
  <c r="R107" i="2"/>
  <c r="R108" i="2"/>
  <c r="R109" i="2"/>
  <c r="R110" i="2"/>
  <c r="R111" i="2"/>
  <c r="Q106" i="2"/>
  <c r="Q107" i="2"/>
  <c r="Q108" i="2"/>
  <c r="Q109" i="2"/>
  <c r="Q110" i="2"/>
  <c r="Q111" i="2"/>
  <c r="O106" i="2"/>
  <c r="O107" i="2"/>
  <c r="O108" i="2"/>
  <c r="O109" i="2"/>
  <c r="O110" i="2"/>
  <c r="O111" i="2"/>
  <c r="R105" i="2"/>
  <c r="R104" i="2"/>
  <c r="R103" i="2"/>
  <c r="Q105" i="2"/>
  <c r="Q104" i="2"/>
  <c r="Q103" i="2"/>
  <c r="O105" i="2"/>
  <c r="O104" i="2"/>
  <c r="O103" i="2"/>
  <c r="F106" i="2"/>
  <c r="F107" i="2"/>
  <c r="F108" i="2"/>
  <c r="F109" i="2"/>
  <c r="F110" i="2"/>
  <c r="F111" i="2"/>
  <c r="F105" i="2"/>
  <c r="F104" i="2"/>
  <c r="F103" i="2"/>
  <c r="E106" i="2"/>
  <c r="E107" i="2"/>
  <c r="E108" i="2"/>
  <c r="E109" i="2"/>
  <c r="E110" i="2"/>
  <c r="E111" i="2"/>
  <c r="E105" i="2"/>
  <c r="E104" i="2"/>
  <c r="E103" i="2"/>
  <c r="C111" i="2"/>
  <c r="C106" i="2"/>
  <c r="C107" i="2"/>
  <c r="C108" i="2"/>
  <c r="C109" i="2"/>
  <c r="C110" i="2"/>
  <c r="C105" i="2"/>
  <c r="C104" i="2"/>
  <c r="C103" i="2"/>
  <c r="G96" i="2"/>
  <c r="G174" i="2" s="1"/>
  <c r="G93" i="2"/>
  <c r="G171" i="2" s="1"/>
  <c r="G90" i="2"/>
  <c r="G168" i="2" s="1"/>
  <c r="G87" i="2"/>
  <c r="G84" i="2"/>
  <c r="G81" i="2"/>
  <c r="G155" i="2" s="1"/>
  <c r="G78" i="2"/>
  <c r="G148" i="2" s="1"/>
  <c r="G75" i="2"/>
  <c r="G72" i="2"/>
  <c r="G69" i="2"/>
  <c r="G135" i="2" s="1"/>
  <c r="G66" i="2"/>
  <c r="G63" i="2"/>
  <c r="G60" i="2"/>
  <c r="G51" i="2"/>
  <c r="G48" i="2"/>
  <c r="G106" i="2" s="1"/>
  <c r="G45" i="2"/>
  <c r="G103" i="2" s="1"/>
  <c r="S96" i="2"/>
  <c r="S93" i="2"/>
  <c r="S90" i="2"/>
  <c r="S87" i="2"/>
  <c r="S84" i="2"/>
  <c r="S158" i="2" s="1"/>
  <c r="S81" i="2"/>
  <c r="S155" i="2" s="1"/>
  <c r="S78" i="2"/>
  <c r="S148" i="2" s="1"/>
  <c r="S75" i="2"/>
  <c r="S72" i="2"/>
  <c r="S142" i="2" s="1"/>
  <c r="S69" i="2"/>
  <c r="S66" i="2"/>
  <c r="S63" i="2"/>
  <c r="S60" i="2"/>
  <c r="S122" i="2" s="1"/>
  <c r="S57" i="2"/>
  <c r="S119" i="2" s="1"/>
  <c r="S54" i="2"/>
  <c r="S116" i="2" s="1"/>
  <c r="S51" i="2"/>
  <c r="S109" i="2" s="1"/>
  <c r="S48" i="2"/>
  <c r="S106" i="2" s="1"/>
  <c r="S103" i="2"/>
  <c r="F48" i="4" l="1"/>
  <c r="F15" i="4"/>
  <c r="F24" i="4"/>
  <c r="F33" i="4"/>
  <c r="F42" i="4"/>
  <c r="F51" i="4"/>
  <c r="F12" i="4"/>
  <c r="F21" i="4"/>
  <c r="F54" i="4"/>
  <c r="F18" i="4"/>
  <c r="F27" i="4"/>
  <c r="F30" i="4"/>
  <c r="F36" i="4"/>
  <c r="F39" i="4"/>
  <c r="AE60" i="2"/>
  <c r="BL84" i="2"/>
  <c r="BL158" i="2" s="1"/>
  <c r="BK103" i="2"/>
  <c r="BL54" i="2"/>
  <c r="BL116" i="2" s="1"/>
  <c r="P97" i="2"/>
  <c r="P175" i="2" s="1"/>
  <c r="P94" i="2"/>
  <c r="P172" i="2" s="1"/>
  <c r="P93" i="2"/>
  <c r="P92" i="2"/>
  <c r="P170" i="2" s="1"/>
  <c r="P91" i="2"/>
  <c r="P169" i="2" s="1"/>
  <c r="P88" i="2"/>
  <c r="P162" i="2" s="1"/>
  <c r="P84" i="2"/>
  <c r="P80" i="2"/>
  <c r="P150" i="2" s="1"/>
  <c r="P75" i="2"/>
  <c r="P71" i="2"/>
  <c r="P137" i="2" s="1"/>
  <c r="P68" i="2"/>
  <c r="P134" i="2" s="1"/>
  <c r="P62" i="2"/>
  <c r="P124" i="2" s="1"/>
  <c r="P59" i="2"/>
  <c r="P121" i="2" s="1"/>
  <c r="P54" i="2"/>
  <c r="P52" i="2"/>
  <c r="P110" i="2" s="1"/>
  <c r="P48" i="2"/>
  <c r="P106" i="2" s="1"/>
  <c r="P95" i="2"/>
  <c r="P173" i="2" s="1"/>
  <c r="P87" i="2"/>
  <c r="P82" i="2"/>
  <c r="P156" i="2" s="1"/>
  <c r="P79" i="2"/>
  <c r="P149" i="2" s="1"/>
  <c r="P76" i="2"/>
  <c r="P146" i="2" s="1"/>
  <c r="P72" i="2"/>
  <c r="P69" i="2"/>
  <c r="P64" i="2"/>
  <c r="P130" i="2" s="1"/>
  <c r="P60" i="2"/>
  <c r="P58" i="2"/>
  <c r="P120" i="2" s="1"/>
  <c r="P55" i="2"/>
  <c r="P117" i="2" s="1"/>
  <c r="P50" i="2"/>
  <c r="P108" i="2" s="1"/>
  <c r="P46" i="2"/>
  <c r="P104" i="2" s="1"/>
  <c r="P96" i="2"/>
  <c r="P90" i="2"/>
  <c r="P85" i="2"/>
  <c r="P159" i="2" s="1"/>
  <c r="P81" i="2"/>
  <c r="P77" i="2"/>
  <c r="P147" i="2" s="1"/>
  <c r="P74" i="2"/>
  <c r="P144" i="2" s="1"/>
  <c r="P66" i="2"/>
  <c r="P63" i="2"/>
  <c r="P57" i="2"/>
  <c r="P49" i="2"/>
  <c r="P107" i="2" s="1"/>
  <c r="P98" i="2"/>
  <c r="P176" i="2" s="1"/>
  <c r="P89" i="2"/>
  <c r="P163" i="2" s="1"/>
  <c r="P86" i="2"/>
  <c r="P160" i="2" s="1"/>
  <c r="P83" i="2"/>
  <c r="P157" i="2" s="1"/>
  <c r="P78" i="2"/>
  <c r="P73" i="2"/>
  <c r="P143" i="2" s="1"/>
  <c r="P70" i="2"/>
  <c r="P136" i="2" s="1"/>
  <c r="P67" i="2"/>
  <c r="P133" i="2" s="1"/>
  <c r="P65" i="2"/>
  <c r="P131" i="2" s="1"/>
  <c r="P61" i="2"/>
  <c r="P123" i="2" s="1"/>
  <c r="P56" i="2"/>
  <c r="P118" i="2" s="1"/>
  <c r="P53" i="2"/>
  <c r="P111" i="2" s="1"/>
  <c r="P51" i="2"/>
  <c r="P109" i="2" s="1"/>
  <c r="P47" i="2"/>
  <c r="P105" i="2" s="1"/>
  <c r="BL69" i="2"/>
  <c r="BL135" i="2" s="1"/>
  <c r="BH90" i="2"/>
  <c r="BH71" i="2"/>
  <c r="BH137" i="2" s="1"/>
  <c r="BH58" i="2"/>
  <c r="BH120" i="2" s="1"/>
  <c r="BH63" i="2"/>
  <c r="BH67" i="2"/>
  <c r="BH133" i="2" s="1"/>
  <c r="BH70" i="2"/>
  <c r="BH136" i="2" s="1"/>
  <c r="BH74" i="2"/>
  <c r="BH144" i="2" s="1"/>
  <c r="BH79" i="2"/>
  <c r="BH149" i="2" s="1"/>
  <c r="BH82" i="2"/>
  <c r="BH156" i="2" s="1"/>
  <c r="BH85" i="2"/>
  <c r="BH159" i="2" s="1"/>
  <c r="BH60" i="2"/>
  <c r="BH64" i="2"/>
  <c r="BH130" i="2" s="1"/>
  <c r="BH98" i="2"/>
  <c r="BH176" i="2" s="1"/>
  <c r="BH48" i="2"/>
  <c r="BH106" i="2" s="1"/>
  <c r="BH51" i="2"/>
  <c r="BH109" i="2" s="1"/>
  <c r="BH54" i="2"/>
  <c r="BH68" i="2"/>
  <c r="BH134" i="2" s="1"/>
  <c r="BH57" i="2"/>
  <c r="BH61" i="2"/>
  <c r="BH123" i="2" s="1"/>
  <c r="BH45" i="2"/>
  <c r="BH103" i="2" s="1"/>
  <c r="BH65" i="2"/>
  <c r="BH131" i="2" s="1"/>
  <c r="BH69" i="2"/>
  <c r="BH72" i="2"/>
  <c r="BH95" i="2"/>
  <c r="BH173" i="2" s="1"/>
  <c r="BH87" i="2"/>
  <c r="BH84" i="2"/>
  <c r="BH80" i="2"/>
  <c r="BH150" i="2" s="1"/>
  <c r="BH73" i="2"/>
  <c r="BH143" i="2" s="1"/>
  <c r="BH66" i="2"/>
  <c r="BH62" i="2"/>
  <c r="BH124" i="2" s="1"/>
  <c r="BH59" i="2"/>
  <c r="BH121" i="2" s="1"/>
  <c r="BH56" i="2"/>
  <c r="BH118" i="2" s="1"/>
  <c r="BH52" i="2"/>
  <c r="BH110" i="2" s="1"/>
  <c r="BH75" i="2"/>
  <c r="BH49" i="2"/>
  <c r="BH107" i="2" s="1"/>
  <c r="BH46" i="2"/>
  <c r="BH104" i="2" s="1"/>
  <c r="BH78" i="2"/>
  <c r="BH81" i="2"/>
  <c r="BH86" i="2"/>
  <c r="BH160" i="2" s="1"/>
  <c r="BH89" i="2"/>
  <c r="BH163" i="2" s="1"/>
  <c r="BH93" i="2"/>
  <c r="BH96" i="2"/>
  <c r="BH76" i="2"/>
  <c r="BH146" i="2" s="1"/>
  <c r="BH77" i="2"/>
  <c r="BH147" i="2" s="1"/>
  <c r="BH83" i="2"/>
  <c r="BH157" i="2" s="1"/>
  <c r="BH88" i="2"/>
  <c r="BH162" i="2" s="1"/>
  <c r="BH91" i="2"/>
  <c r="BH169" i="2" s="1"/>
  <c r="BH94" i="2"/>
  <c r="BH172" i="2" s="1"/>
  <c r="BH92" i="2"/>
  <c r="BH170" i="2" s="1"/>
  <c r="BH97" i="2"/>
  <c r="BH175" i="2" s="1"/>
  <c r="BH47" i="2"/>
  <c r="BH105" i="2" s="1"/>
  <c r="BH50" i="2"/>
  <c r="BH108" i="2" s="1"/>
  <c r="BH53" i="2"/>
  <c r="BH111" i="2" s="1"/>
  <c r="BH55" i="2"/>
  <c r="BH117" i="2" s="1"/>
  <c r="AW92" i="2"/>
  <c r="AW170" i="2" s="1"/>
  <c r="AW89" i="2"/>
  <c r="AW163" i="2" s="1"/>
  <c r="AW85" i="2"/>
  <c r="AW159" i="2" s="1"/>
  <c r="AW82" i="2"/>
  <c r="AW156" i="2" s="1"/>
  <c r="AW77" i="2"/>
  <c r="AW147" i="2" s="1"/>
  <c r="AW73" i="2"/>
  <c r="AW143" i="2" s="1"/>
  <c r="AW70" i="2"/>
  <c r="AW136" i="2" s="1"/>
  <c r="AW65" i="2"/>
  <c r="AW131" i="2" s="1"/>
  <c r="AW62" i="2"/>
  <c r="AW124" i="2" s="1"/>
  <c r="AW53" i="2"/>
  <c r="AW111" i="2" s="1"/>
  <c r="AW50" i="2"/>
  <c r="AW108" i="2" s="1"/>
  <c r="AW46" i="2"/>
  <c r="AW104" i="2" s="1"/>
  <c r="AW72" i="2"/>
  <c r="AW47" i="2"/>
  <c r="AW105" i="2" s="1"/>
  <c r="AW51" i="2"/>
  <c r="AW109" i="2" s="1"/>
  <c r="AW56" i="2"/>
  <c r="AW118" i="2" s="1"/>
  <c r="AW59" i="2"/>
  <c r="AW121" i="2" s="1"/>
  <c r="AW63" i="2"/>
  <c r="AW68" i="2"/>
  <c r="AW134" i="2" s="1"/>
  <c r="AW96" i="2"/>
  <c r="AW91" i="2"/>
  <c r="AW169" i="2" s="1"/>
  <c r="AW87" i="2"/>
  <c r="AW83" i="2"/>
  <c r="AW157" i="2" s="1"/>
  <c r="AW80" i="2"/>
  <c r="AW150" i="2" s="1"/>
  <c r="AW75" i="2"/>
  <c r="AW67" i="2"/>
  <c r="AW133" i="2" s="1"/>
  <c r="AW58" i="2"/>
  <c r="AW120" i="2" s="1"/>
  <c r="AW98" i="2"/>
  <c r="AW176" i="2" s="1"/>
  <c r="AW93" i="2"/>
  <c r="AW88" i="2"/>
  <c r="AW162" i="2" s="1"/>
  <c r="AW84" i="2"/>
  <c r="AW79" i="2"/>
  <c r="AW149" i="2" s="1"/>
  <c r="AW76" i="2"/>
  <c r="AW146" i="2" s="1"/>
  <c r="AW71" i="2"/>
  <c r="AW137" i="2" s="1"/>
  <c r="AW64" i="2"/>
  <c r="AW130" i="2" s="1"/>
  <c r="AW61" i="2"/>
  <c r="AW123" i="2" s="1"/>
  <c r="AW55" i="2"/>
  <c r="AW117" i="2" s="1"/>
  <c r="AW52" i="2"/>
  <c r="AW110" i="2" s="1"/>
  <c r="AW48" i="2"/>
  <c r="AW106" i="2" s="1"/>
  <c r="AW45" i="2"/>
  <c r="AW103" i="2" s="1"/>
  <c r="AW74" i="2"/>
  <c r="AW144" i="2" s="1"/>
  <c r="AW97" i="2"/>
  <c r="AW175" i="2" s="1"/>
  <c r="AW94" i="2"/>
  <c r="AW172" i="2" s="1"/>
  <c r="AW90" i="2"/>
  <c r="AW86" i="2"/>
  <c r="AW160" i="2" s="1"/>
  <c r="AW78" i="2"/>
  <c r="AW69" i="2"/>
  <c r="AW66" i="2"/>
  <c r="AW60" i="2"/>
  <c r="AW57" i="2"/>
  <c r="AW54" i="2"/>
  <c r="AW49" i="2"/>
  <c r="AW107" i="2" s="1"/>
  <c r="AW95" i="2"/>
  <c r="AW173" i="2" s="1"/>
  <c r="AW81" i="2"/>
  <c r="AK114" i="2"/>
  <c r="AL81" i="2"/>
  <c r="AL82" i="2"/>
  <c r="AL156" i="2" s="1"/>
  <c r="AL83" i="2"/>
  <c r="AL157" i="2" s="1"/>
  <c r="AL84" i="2"/>
  <c r="AL85" i="2"/>
  <c r="AL159" i="2" s="1"/>
  <c r="AL87" i="2"/>
  <c r="AL88" i="2"/>
  <c r="AL162" i="2" s="1"/>
  <c r="AL89" i="2"/>
  <c r="AL163" i="2" s="1"/>
  <c r="AL90" i="2"/>
  <c r="AL91" i="2"/>
  <c r="AL169" i="2" s="1"/>
  <c r="AL92" i="2"/>
  <c r="AL170" i="2" s="1"/>
  <c r="AL94" i="2"/>
  <c r="AL172" i="2" s="1"/>
  <c r="AL95" i="2"/>
  <c r="AL173" i="2" s="1"/>
  <c r="AL96" i="2"/>
  <c r="AL74" i="2"/>
  <c r="AL144" i="2" s="1"/>
  <c r="AL97" i="2"/>
  <c r="AL175" i="2" s="1"/>
  <c r="AL68" i="2"/>
  <c r="AL134" i="2" s="1"/>
  <c r="AL66" i="2"/>
  <c r="AL65" i="2"/>
  <c r="AL131" i="2" s="1"/>
  <c r="AL63" i="2"/>
  <c r="AL62" i="2"/>
  <c r="AL124" i="2" s="1"/>
  <c r="AL61" i="2"/>
  <c r="AL123" i="2" s="1"/>
  <c r="AL60" i="2"/>
  <c r="AL59" i="2"/>
  <c r="AL121" i="2" s="1"/>
  <c r="AL57" i="2"/>
  <c r="AL55" i="2"/>
  <c r="AL117" i="2" s="1"/>
  <c r="AL52" i="2"/>
  <c r="AL110" i="2" s="1"/>
  <c r="AL49" i="2"/>
  <c r="AL107" i="2" s="1"/>
  <c r="AL46" i="2"/>
  <c r="AL104" i="2" s="1"/>
  <c r="AL75" i="2"/>
  <c r="AL76" i="2"/>
  <c r="AL146" i="2" s="1"/>
  <c r="AL77" i="2"/>
  <c r="AL147" i="2" s="1"/>
  <c r="AL78" i="2"/>
  <c r="AL93" i="2"/>
  <c r="AL79" i="2"/>
  <c r="AL149" i="2" s="1"/>
  <c r="AL73" i="2"/>
  <c r="AL143" i="2" s="1"/>
  <c r="AL67" i="2"/>
  <c r="AL133" i="2" s="1"/>
  <c r="AL58" i="2"/>
  <c r="AL120" i="2" s="1"/>
  <c r="AL54" i="2"/>
  <c r="AL51" i="2"/>
  <c r="AL109" i="2" s="1"/>
  <c r="AL48" i="2"/>
  <c r="AL106" i="2" s="1"/>
  <c r="AL98" i="2"/>
  <c r="AL176" i="2" s="1"/>
  <c r="AL64" i="2"/>
  <c r="AL130" i="2" s="1"/>
  <c r="AL86" i="2"/>
  <c r="AL160" i="2" s="1"/>
  <c r="AL45" i="2"/>
  <c r="AL103" i="2" s="1"/>
  <c r="AL47" i="2"/>
  <c r="AL105" i="2" s="1"/>
  <c r="AL50" i="2"/>
  <c r="AL108" i="2" s="1"/>
  <c r="AL53" i="2"/>
  <c r="AL111" i="2" s="1"/>
  <c r="AL56" i="2"/>
  <c r="AL118" i="2" s="1"/>
  <c r="AL69" i="2"/>
  <c r="AL70" i="2"/>
  <c r="AL136" i="2" s="1"/>
  <c r="AL71" i="2"/>
  <c r="AL137" i="2" s="1"/>
  <c r="AL72" i="2"/>
  <c r="AL80" i="2"/>
  <c r="AL150" i="2" s="1"/>
  <c r="Z153" i="2"/>
  <c r="AA72" i="2"/>
  <c r="AA71" i="2"/>
  <c r="AA137" i="2" s="1"/>
  <c r="AA70" i="2"/>
  <c r="AA136" i="2" s="1"/>
  <c r="AA69" i="2"/>
  <c r="AA68" i="2"/>
  <c r="AA134" i="2" s="1"/>
  <c r="AA67" i="2"/>
  <c r="AA133" i="2" s="1"/>
  <c r="AA65" i="2"/>
  <c r="AA131" i="2" s="1"/>
  <c r="AA64" i="2"/>
  <c r="AA130" i="2" s="1"/>
  <c r="AA63" i="2"/>
  <c r="AA62" i="2"/>
  <c r="AA124" i="2" s="1"/>
  <c r="AA61" i="2"/>
  <c r="AA123" i="2" s="1"/>
  <c r="AA60" i="2"/>
  <c r="AA59" i="2"/>
  <c r="AA121" i="2" s="1"/>
  <c r="AA58" i="2"/>
  <c r="AA120" i="2" s="1"/>
  <c r="AA57" i="2"/>
  <c r="AA56" i="2"/>
  <c r="AA118" i="2" s="1"/>
  <c r="AA55" i="2"/>
  <c r="AA117" i="2" s="1"/>
  <c r="AA54" i="2"/>
  <c r="AA53" i="2"/>
  <c r="AA111" i="2" s="1"/>
  <c r="AA52" i="2"/>
  <c r="AA110" i="2" s="1"/>
  <c r="AA51" i="2"/>
  <c r="AA109" i="2" s="1"/>
  <c r="AA50" i="2"/>
  <c r="AA108" i="2" s="1"/>
  <c r="AA49" i="2"/>
  <c r="AA107" i="2" s="1"/>
  <c r="AA48" i="2"/>
  <c r="AA106" i="2" s="1"/>
  <c r="AA47" i="2"/>
  <c r="AA105" i="2" s="1"/>
  <c r="AA46" i="2"/>
  <c r="AA104" i="2" s="1"/>
  <c r="AA45" i="2"/>
  <c r="AA103" i="2" s="1"/>
  <c r="AA66" i="2"/>
  <c r="AA98" i="2"/>
  <c r="AA176" i="2" s="1"/>
  <c r="AA97" i="2"/>
  <c r="AA175" i="2" s="1"/>
  <c r="AA96" i="2"/>
  <c r="AA95" i="2"/>
  <c r="AA173" i="2" s="1"/>
  <c r="AA94" i="2"/>
  <c r="AA172" i="2" s="1"/>
  <c r="AA93" i="2"/>
  <c r="AA92" i="2"/>
  <c r="AA170" i="2" s="1"/>
  <c r="AA91" i="2"/>
  <c r="AA169" i="2" s="1"/>
  <c r="AA90" i="2"/>
  <c r="AA89" i="2"/>
  <c r="AA163" i="2" s="1"/>
  <c r="AA88" i="2"/>
  <c r="AA162" i="2" s="1"/>
  <c r="AA87" i="2"/>
  <c r="AA86" i="2"/>
  <c r="AA160" i="2" s="1"/>
  <c r="AA85" i="2"/>
  <c r="AA159" i="2" s="1"/>
  <c r="AA84" i="2"/>
  <c r="AA83" i="2"/>
  <c r="AA157" i="2" s="1"/>
  <c r="AA82" i="2"/>
  <c r="AA156" i="2" s="1"/>
  <c r="AA81" i="2"/>
  <c r="AA80" i="2"/>
  <c r="AA150" i="2" s="1"/>
  <c r="AA79" i="2"/>
  <c r="AA149" i="2" s="1"/>
  <c r="AA78" i="2"/>
  <c r="AA77" i="2"/>
  <c r="AA147" i="2" s="1"/>
  <c r="AA76" i="2"/>
  <c r="AA146" i="2" s="1"/>
  <c r="AA75" i="2"/>
  <c r="AA74" i="2"/>
  <c r="AA144" i="2" s="1"/>
  <c r="AA73" i="2"/>
  <c r="AA143" i="2" s="1"/>
  <c r="O140" i="2"/>
  <c r="P45" i="2"/>
  <c r="P103" i="2" s="1"/>
  <c r="D46" i="2"/>
  <c r="D104" i="2" s="1"/>
  <c r="D47" i="2"/>
  <c r="D105" i="2" s="1"/>
  <c r="D50" i="2"/>
  <c r="D108" i="2" s="1"/>
  <c r="D53" i="2"/>
  <c r="D111" i="2" s="1"/>
  <c r="D56" i="2"/>
  <c r="D118" i="2" s="1"/>
  <c r="D61" i="2"/>
  <c r="D123" i="2" s="1"/>
  <c r="D65" i="2"/>
  <c r="D131" i="2" s="1"/>
  <c r="D98" i="2"/>
  <c r="D176" i="2" s="1"/>
  <c r="D92" i="2"/>
  <c r="D170" i="2" s="1"/>
  <c r="D87" i="2"/>
  <c r="D83" i="2"/>
  <c r="D157" i="2" s="1"/>
  <c r="D79" i="2"/>
  <c r="D149" i="2" s="1"/>
  <c r="D76" i="2"/>
  <c r="D146" i="2" s="1"/>
  <c r="D72" i="2"/>
  <c r="D67" i="2"/>
  <c r="D133" i="2" s="1"/>
  <c r="D64" i="2"/>
  <c r="D130" i="2" s="1"/>
  <c r="D60" i="2"/>
  <c r="D57" i="2"/>
  <c r="D52" i="2"/>
  <c r="D110" i="2" s="1"/>
  <c r="D48" i="2"/>
  <c r="D106" i="2" s="1"/>
  <c r="D69" i="2"/>
  <c r="D73" i="2"/>
  <c r="D143" i="2" s="1"/>
  <c r="D78" i="2"/>
  <c r="D84" i="2"/>
  <c r="D91" i="2"/>
  <c r="D169" i="2" s="1"/>
  <c r="D96" i="2"/>
  <c r="D97" i="2"/>
  <c r="D175" i="2" s="1"/>
  <c r="D93" i="2"/>
  <c r="D90" i="2"/>
  <c r="D88" i="2"/>
  <c r="D162" i="2" s="1"/>
  <c r="D85" i="2"/>
  <c r="D159" i="2" s="1"/>
  <c r="D81" i="2"/>
  <c r="D77" i="2"/>
  <c r="D147" i="2" s="1"/>
  <c r="D74" i="2"/>
  <c r="D144" i="2" s="1"/>
  <c r="D70" i="2"/>
  <c r="D136" i="2" s="1"/>
  <c r="D66" i="2"/>
  <c r="D63" i="2"/>
  <c r="D58" i="2"/>
  <c r="D120" i="2" s="1"/>
  <c r="D54" i="2"/>
  <c r="D95" i="2"/>
  <c r="D173" i="2" s="1"/>
  <c r="D94" i="2"/>
  <c r="D172" i="2" s="1"/>
  <c r="D89" i="2"/>
  <c r="D163" i="2" s="1"/>
  <c r="D86" i="2"/>
  <c r="D160" i="2" s="1"/>
  <c r="D82" i="2"/>
  <c r="D156" i="2" s="1"/>
  <c r="D80" i="2"/>
  <c r="D150" i="2" s="1"/>
  <c r="D75" i="2"/>
  <c r="D71" i="2"/>
  <c r="D137" i="2" s="1"/>
  <c r="D68" i="2"/>
  <c r="D134" i="2" s="1"/>
  <c r="D62" i="2"/>
  <c r="D124" i="2" s="1"/>
  <c r="D59" i="2"/>
  <c r="D121" i="2" s="1"/>
  <c r="D55" i="2"/>
  <c r="D117" i="2" s="1"/>
  <c r="D51" i="2"/>
  <c r="D109" i="2" s="1"/>
  <c r="D49" i="2"/>
  <c r="D107" i="2" s="1"/>
  <c r="D45" i="2"/>
  <c r="D103" i="2" s="1"/>
  <c r="C166" i="2"/>
  <c r="C101" i="2"/>
  <c r="BL63" i="2"/>
  <c r="BL93" i="2"/>
  <c r="BL171" i="2" s="1"/>
  <c r="BL72" i="2"/>
  <c r="BA63" i="2"/>
  <c r="BA129" i="2" s="1"/>
  <c r="BA93" i="2"/>
  <c r="BA171" i="2" s="1"/>
  <c r="Y40" i="3"/>
  <c r="BA54" i="2"/>
  <c r="BA57" i="2"/>
  <c r="BA119" i="2" s="1"/>
  <c r="BL87" i="2"/>
  <c r="T75" i="2"/>
  <c r="T145" i="2" s="1"/>
  <c r="AK166" i="2"/>
  <c r="BK129" i="2"/>
  <c r="BL96" i="2"/>
  <c r="BL174" i="2" s="1"/>
  <c r="BL57" i="2"/>
  <c r="BK171" i="2"/>
  <c r="BL60" i="2"/>
  <c r="BL122" i="2" s="1"/>
  <c r="BL75" i="2"/>
  <c r="BL78" i="2"/>
  <c r="BL148" i="2" s="1"/>
  <c r="BL81" i="2"/>
  <c r="BL155" i="2" s="1"/>
  <c r="V74" i="3"/>
  <c r="W74" i="3"/>
  <c r="Y74" i="3"/>
  <c r="X74" i="3"/>
  <c r="L175" i="3"/>
  <c r="AE20" i="3"/>
  <c r="AD63" i="3" s="1"/>
  <c r="V29" i="3"/>
  <c r="V32" i="3"/>
  <c r="BK142" i="2"/>
  <c r="BL90" i="2"/>
  <c r="BK145" i="2"/>
  <c r="T72" i="2"/>
  <c r="T78" i="2"/>
  <c r="T148" i="2" s="1"/>
  <c r="V23" i="3"/>
  <c r="Z63" i="3" s="1"/>
  <c r="V41" i="3"/>
  <c r="V22" i="3"/>
  <c r="Y63" i="3" s="1"/>
  <c r="V38" i="3"/>
  <c r="V21" i="3"/>
  <c r="X63" i="3" s="1"/>
  <c r="V35" i="3"/>
  <c r="AE19" i="3"/>
  <c r="AC63" i="3" s="1"/>
  <c r="N55" i="3"/>
  <c r="J95" i="3"/>
  <c r="M15" i="3"/>
  <c r="O55" i="3"/>
  <c r="AE21" i="3"/>
  <c r="AE63" i="3" s="1"/>
  <c r="AE22" i="3"/>
  <c r="AF63" i="3" s="1"/>
  <c r="P15" i="3"/>
  <c r="N60" i="3"/>
  <c r="I100" i="3"/>
  <c r="K180" i="3"/>
  <c r="AE23" i="3"/>
  <c r="AG63" i="3" s="1"/>
  <c r="I15" i="3"/>
  <c r="L140" i="3"/>
  <c r="J15" i="3"/>
  <c r="L55" i="3"/>
  <c r="N135" i="3"/>
  <c r="R55" i="3"/>
  <c r="K60" i="3"/>
  <c r="H15" i="3"/>
  <c r="M95" i="3"/>
  <c r="H55" i="3"/>
  <c r="K55" i="3"/>
  <c r="J60" i="3"/>
  <c r="Q15" i="3"/>
  <c r="J20" i="3"/>
  <c r="R15" i="3"/>
  <c r="S15" i="3"/>
  <c r="I180" i="3"/>
  <c r="N15" i="3"/>
  <c r="P55" i="3"/>
  <c r="O15" i="3"/>
  <c r="Q55" i="3"/>
  <c r="J100" i="3"/>
  <c r="K175" i="3"/>
  <c r="J135" i="3"/>
  <c r="J180" i="3"/>
  <c r="L95" i="3"/>
  <c r="K135" i="3"/>
  <c r="L15" i="3"/>
  <c r="L135" i="3"/>
  <c r="K140" i="3"/>
  <c r="I55" i="3"/>
  <c r="Q175" i="3"/>
  <c r="L180" i="3"/>
  <c r="H175" i="3"/>
  <c r="R175" i="3"/>
  <c r="M180" i="3"/>
  <c r="N175" i="3"/>
  <c r="S175" i="3"/>
  <c r="I140" i="3"/>
  <c r="Q135" i="3"/>
  <c r="P135" i="3"/>
  <c r="H135" i="3"/>
  <c r="R135" i="3"/>
  <c r="S135" i="3"/>
  <c r="Q95" i="3"/>
  <c r="L100" i="3"/>
  <c r="P95" i="3"/>
  <c r="H95" i="3"/>
  <c r="R95" i="3"/>
  <c r="N95" i="3"/>
  <c r="S95" i="3"/>
  <c r="AK127" i="2"/>
  <c r="BK174" i="2"/>
  <c r="AK140" i="2"/>
  <c r="AK153" i="2"/>
  <c r="C114" i="2"/>
  <c r="BL66" i="2"/>
  <c r="BL132" i="2" s="1"/>
  <c r="C127" i="2"/>
  <c r="C140" i="2"/>
  <c r="AE57" i="2"/>
  <c r="AE119" i="2" s="1"/>
  <c r="AE54" i="2"/>
  <c r="T96" i="2"/>
  <c r="T174" i="2" s="1"/>
  <c r="H72" i="2"/>
  <c r="BK116" i="2"/>
  <c r="BK135" i="2"/>
  <c r="BK158" i="2"/>
  <c r="O153" i="2"/>
  <c r="O166" i="2"/>
  <c r="Z101" i="2"/>
  <c r="Z166" i="2"/>
  <c r="AK101" i="2"/>
  <c r="Z114" i="2"/>
  <c r="Z127" i="2"/>
  <c r="Z140" i="2"/>
  <c r="O101" i="2"/>
  <c r="O114" i="2"/>
  <c r="O127" i="2"/>
  <c r="C153" i="2"/>
  <c r="G142" i="2"/>
  <c r="T93" i="2"/>
  <c r="T171" i="2" s="1"/>
  <c r="AP57" i="2"/>
  <c r="AP119" i="2" s="1"/>
  <c r="AP90" i="2"/>
  <c r="AP168" i="2" s="1"/>
  <c r="AE81" i="2"/>
  <c r="AZ116" i="2"/>
  <c r="AP93" i="2"/>
  <c r="AP171" i="2" s="1"/>
  <c r="T63" i="2"/>
  <c r="T129" i="2" s="1"/>
  <c r="AP54" i="2"/>
  <c r="T66" i="2"/>
  <c r="T132" i="2" s="1"/>
  <c r="AE87" i="2"/>
  <c r="AE161" i="2" s="1"/>
  <c r="T69" i="2"/>
  <c r="T135" i="2" s="1"/>
  <c r="H75" i="2"/>
  <c r="H145" i="2" s="1"/>
  <c r="AP84" i="2"/>
  <c r="BA87" i="2"/>
  <c r="BA161" i="2" s="1"/>
  <c r="BA69" i="2"/>
  <c r="AE66" i="2"/>
  <c r="BA72" i="2"/>
  <c r="BA142" i="2" s="1"/>
  <c r="T57" i="2"/>
  <c r="T119" i="2" s="1"/>
  <c r="T87" i="2"/>
  <c r="T161" i="2" s="1"/>
  <c r="AO103" i="2"/>
  <c r="BA75" i="2"/>
  <c r="BA145" i="2" s="1"/>
  <c r="AE93" i="2"/>
  <c r="AE171" i="2" s="1"/>
  <c r="AP63" i="2"/>
  <c r="AP129" i="2" s="1"/>
  <c r="AO168" i="2"/>
  <c r="BA84" i="2"/>
  <c r="BA78" i="2"/>
  <c r="BA148" i="2" s="1"/>
  <c r="H63" i="2"/>
  <c r="AP78" i="2"/>
  <c r="AP148" i="2" s="1"/>
  <c r="AP87" i="2"/>
  <c r="T60" i="2"/>
  <c r="T122" i="2" s="1"/>
  <c r="T90" i="2"/>
  <c r="T168" i="2" s="1"/>
  <c r="H66" i="2"/>
  <c r="AP81" i="2"/>
  <c r="BA96" i="2"/>
  <c r="G145" i="2"/>
  <c r="AE63" i="2"/>
  <c r="AE129" i="2" s="1"/>
  <c r="AP96" i="2"/>
  <c r="AE96" i="2"/>
  <c r="AO158" i="2"/>
  <c r="AE69" i="2"/>
  <c r="AE78" i="2"/>
  <c r="AE148" i="2" s="1"/>
  <c r="BA81" i="2"/>
  <c r="H78" i="2"/>
  <c r="AZ145" i="2"/>
  <c r="AE72" i="2"/>
  <c r="AE142" i="2" s="1"/>
  <c r="AE122" i="2"/>
  <c r="H84" i="2"/>
  <c r="H158" i="2" s="1"/>
  <c r="H93" i="2"/>
  <c r="H171" i="2" s="1"/>
  <c r="T81" i="2"/>
  <c r="T155" i="2" s="1"/>
  <c r="H57" i="2"/>
  <c r="H87" i="2"/>
  <c r="H161" i="2" s="1"/>
  <c r="S161" i="2"/>
  <c r="AD106" i="2"/>
  <c r="AP72" i="2"/>
  <c r="AP142" i="2" s="1"/>
  <c r="AP60" i="2"/>
  <c r="AP122" i="2" s="1"/>
  <c r="T54" i="2"/>
  <c r="T116" i="2" s="1"/>
  <c r="T84" i="2"/>
  <c r="T158" i="2" s="1"/>
  <c r="H60" i="2"/>
  <c r="S168" i="2"/>
  <c r="AD122" i="2"/>
  <c r="AD109" i="2"/>
  <c r="AP75" i="2"/>
  <c r="AP145" i="2" s="1"/>
  <c r="BA60" i="2"/>
  <c r="BA122" i="2" s="1"/>
  <c r="BA90" i="2"/>
  <c r="BA168" i="2" s="1"/>
  <c r="S145" i="2"/>
  <c r="H69" i="2"/>
  <c r="H90" i="2"/>
  <c r="AZ135" i="2"/>
  <c r="AE75" i="2"/>
  <c r="AD103" i="2"/>
  <c r="AD132" i="2"/>
  <c r="AZ174" i="2"/>
  <c r="AE90" i="2"/>
  <c r="AP69" i="2"/>
  <c r="AO145" i="2"/>
  <c r="G119" i="2"/>
  <c r="S129" i="2"/>
  <c r="S171" i="2"/>
  <c r="G122" i="2"/>
  <c r="H81" i="2"/>
  <c r="AD135" i="2"/>
  <c r="G109" i="2"/>
  <c r="G158" i="2"/>
  <c r="H54" i="2"/>
  <c r="G161" i="2"/>
  <c r="S132" i="2"/>
  <c r="S174" i="2"/>
  <c r="G129" i="2"/>
  <c r="BA66" i="2"/>
  <c r="AE84" i="2"/>
  <c r="AP66" i="2"/>
  <c r="S135" i="2"/>
  <c r="G132" i="2"/>
  <c r="H96" i="2"/>
  <c r="AZ119" i="2"/>
  <c r="AZ142" i="2"/>
  <c r="AZ161" i="2"/>
  <c r="AZ129" i="2"/>
  <c r="AZ148" i="2"/>
  <c r="AZ171" i="2"/>
  <c r="AO119" i="2"/>
  <c r="AO142" i="2"/>
  <c r="AO129" i="2"/>
  <c r="AO148" i="2"/>
  <c r="AO171" i="2"/>
  <c r="AD119" i="2"/>
  <c r="AD142" i="2"/>
  <c r="AD161" i="2"/>
  <c r="AD129" i="2"/>
  <c r="AD148" i="2"/>
  <c r="AD171" i="2"/>
  <c r="G21" i="4" l="1"/>
  <c r="H21" i="4" s="1"/>
  <c r="I21" i="4" s="1"/>
  <c r="G39" i="4"/>
  <c r="H45" i="4" s="1"/>
  <c r="I45" i="4" s="1"/>
  <c r="G12" i="4"/>
  <c r="H15" i="4" s="1"/>
  <c r="I15" i="4" s="1"/>
  <c r="G48" i="4"/>
  <c r="H48" i="4" s="1"/>
  <c r="I48" i="4" s="1"/>
  <c r="G30" i="4"/>
  <c r="H33" i="4" s="1"/>
  <c r="I33" i="4" s="1"/>
  <c r="I90" i="2"/>
  <c r="C24" i="3"/>
  <c r="AA122" i="2"/>
  <c r="C23" i="3"/>
  <c r="AA119" i="2"/>
  <c r="C22" i="3"/>
  <c r="AA116" i="2"/>
  <c r="P171" i="2"/>
  <c r="C180" i="3"/>
  <c r="C140" i="3"/>
  <c r="P158" i="2"/>
  <c r="C100" i="3"/>
  <c r="P145" i="2"/>
  <c r="C19" i="3"/>
  <c r="P116" i="2"/>
  <c r="C141" i="3"/>
  <c r="P161" i="2"/>
  <c r="P142" i="2"/>
  <c r="C99" i="3"/>
  <c r="P135" i="2"/>
  <c r="C61" i="3"/>
  <c r="C21" i="3"/>
  <c r="P122" i="2"/>
  <c r="P174" i="2"/>
  <c r="C181" i="3"/>
  <c r="P168" i="2"/>
  <c r="C179" i="3"/>
  <c r="C139" i="3"/>
  <c r="P155" i="2"/>
  <c r="P132" i="2"/>
  <c r="C60" i="3"/>
  <c r="P129" i="2"/>
  <c r="C59" i="3"/>
  <c r="P119" i="2"/>
  <c r="C20" i="3"/>
  <c r="C101" i="3"/>
  <c r="P148" i="2"/>
  <c r="BH168" i="2"/>
  <c r="C191" i="3"/>
  <c r="BH129" i="2"/>
  <c r="C71" i="3"/>
  <c r="C33" i="3"/>
  <c r="BH122" i="2"/>
  <c r="BH116" i="2"/>
  <c r="C31" i="3"/>
  <c r="C32" i="3"/>
  <c r="BH119" i="2"/>
  <c r="C73" i="3"/>
  <c r="BH135" i="2"/>
  <c r="C111" i="3"/>
  <c r="BH142" i="2"/>
  <c r="BH161" i="2"/>
  <c r="C153" i="3"/>
  <c r="C152" i="3"/>
  <c r="BH158" i="2"/>
  <c r="BH132" i="2"/>
  <c r="C72" i="3"/>
  <c r="C112" i="3"/>
  <c r="BH145" i="2"/>
  <c r="C113" i="3"/>
  <c r="BH148" i="2"/>
  <c r="C151" i="3"/>
  <c r="BH155" i="2"/>
  <c r="BH171" i="2"/>
  <c r="C192" i="3"/>
  <c r="C193" i="3"/>
  <c r="BH174" i="2"/>
  <c r="AW142" i="2"/>
  <c r="C108" i="3"/>
  <c r="AW129" i="2"/>
  <c r="C68" i="3"/>
  <c r="C190" i="3"/>
  <c r="AW174" i="2"/>
  <c r="AW161" i="2"/>
  <c r="C150" i="3"/>
  <c r="C109" i="3"/>
  <c r="AW145" i="2"/>
  <c r="C189" i="3"/>
  <c r="AW171" i="2"/>
  <c r="C149" i="3"/>
  <c r="AW158" i="2"/>
  <c r="C188" i="3"/>
  <c r="AW168" i="2"/>
  <c r="AW148" i="2"/>
  <c r="C110" i="3"/>
  <c r="AW135" i="2"/>
  <c r="C70" i="3"/>
  <c r="C69" i="3"/>
  <c r="AW132" i="2"/>
  <c r="C30" i="3"/>
  <c r="AW122" i="2"/>
  <c r="AW119" i="2"/>
  <c r="C29" i="3"/>
  <c r="AW116" i="2"/>
  <c r="C28" i="3"/>
  <c r="AW155" i="2"/>
  <c r="C148" i="3"/>
  <c r="AL155" i="2"/>
  <c r="C145" i="3"/>
  <c r="AL158" i="2"/>
  <c r="C146" i="3"/>
  <c r="AL161" i="2"/>
  <c r="C147" i="3"/>
  <c r="C185" i="3"/>
  <c r="AL168" i="2"/>
  <c r="C187" i="3"/>
  <c r="AL174" i="2"/>
  <c r="C66" i="3"/>
  <c r="AL132" i="2"/>
  <c r="C65" i="3"/>
  <c r="AL129" i="2"/>
  <c r="C27" i="3"/>
  <c r="AL122" i="2"/>
  <c r="AL119" i="2"/>
  <c r="C26" i="3"/>
  <c r="C106" i="3"/>
  <c r="AL145" i="2"/>
  <c r="AL148" i="2"/>
  <c r="C107" i="3"/>
  <c r="C186" i="3"/>
  <c r="AL171" i="2"/>
  <c r="C25" i="3"/>
  <c r="AL116" i="2"/>
  <c r="C67" i="3"/>
  <c r="AL135" i="2"/>
  <c r="C105" i="3"/>
  <c r="AL142" i="2"/>
  <c r="C102" i="3"/>
  <c r="AA142" i="2"/>
  <c r="C184" i="3"/>
  <c r="AA174" i="2"/>
  <c r="C183" i="3"/>
  <c r="AA171" i="2"/>
  <c r="C182" i="3"/>
  <c r="AA168" i="2"/>
  <c r="C144" i="3"/>
  <c r="AA161" i="2"/>
  <c r="C143" i="3"/>
  <c r="AA158" i="2"/>
  <c r="C142" i="3"/>
  <c r="AA155" i="2"/>
  <c r="C104" i="3"/>
  <c r="AA148" i="2"/>
  <c r="C103" i="3"/>
  <c r="AA145" i="2"/>
  <c r="C138" i="3"/>
  <c r="D161" i="2"/>
  <c r="C96" i="3"/>
  <c r="D142" i="2"/>
  <c r="C18" i="3"/>
  <c r="D122" i="2"/>
  <c r="C17" i="3"/>
  <c r="D119" i="2"/>
  <c r="C58" i="3"/>
  <c r="D135" i="2"/>
  <c r="C98" i="3"/>
  <c r="D148" i="2"/>
  <c r="C137" i="3"/>
  <c r="D158" i="2"/>
  <c r="C178" i="3"/>
  <c r="D174" i="2"/>
  <c r="C177" i="3"/>
  <c r="D171" i="2"/>
  <c r="C176" i="3"/>
  <c r="D168" i="2"/>
  <c r="C136" i="3"/>
  <c r="D155" i="2"/>
  <c r="C57" i="3"/>
  <c r="D132" i="2"/>
  <c r="C56" i="3"/>
  <c r="D129" i="2"/>
  <c r="C16" i="3"/>
  <c r="D116" i="2"/>
  <c r="C97" i="3"/>
  <c r="D145" i="2"/>
  <c r="C64" i="3"/>
  <c r="AA135" i="2"/>
  <c r="AA129" i="2"/>
  <c r="C62" i="3"/>
  <c r="C63" i="3"/>
  <c r="AA132" i="2"/>
  <c r="AE74" i="3"/>
  <c r="AD74" i="3"/>
  <c r="AA74" i="3"/>
  <c r="Z74" i="3"/>
  <c r="AC74" i="3"/>
  <c r="AB74" i="3"/>
  <c r="I81" i="2"/>
  <c r="H119" i="2"/>
  <c r="H122" i="2"/>
  <c r="I54" i="2"/>
  <c r="H129" i="2"/>
  <c r="I63" i="2"/>
  <c r="J66" i="2" s="1"/>
  <c r="K66" i="2" s="1"/>
  <c r="H142" i="2"/>
  <c r="I72" i="2"/>
  <c r="I142" i="2" s="1"/>
  <c r="BL168" i="2"/>
  <c r="BL145" i="2"/>
  <c r="BL161" i="2"/>
  <c r="BL129" i="2"/>
  <c r="BL142" i="2"/>
  <c r="BL119" i="2"/>
  <c r="H132" i="2"/>
  <c r="H148" i="2"/>
  <c r="AE168" i="2"/>
  <c r="H135" i="2"/>
  <c r="H168" i="2"/>
  <c r="H116" i="2"/>
  <c r="H155" i="2"/>
  <c r="J96" i="2"/>
  <c r="H174" i="2"/>
  <c r="T142" i="2"/>
  <c r="AE158" i="2"/>
  <c r="AE145" i="2"/>
  <c r="BA116" i="2"/>
  <c r="BA174" i="2"/>
  <c r="BA155" i="2"/>
  <c r="BA135" i="2"/>
  <c r="BA132" i="2"/>
  <c r="BA158" i="2"/>
  <c r="AP161" i="2"/>
  <c r="AP158" i="2"/>
  <c r="AP116" i="2"/>
  <c r="AP155" i="2"/>
  <c r="AP135" i="2"/>
  <c r="AP174" i="2"/>
  <c r="AP132" i="2"/>
  <c r="AE174" i="2"/>
  <c r="AE135" i="2"/>
  <c r="AE155" i="2"/>
  <c r="AE132" i="2"/>
  <c r="AE116" i="2"/>
  <c r="H39" i="4" l="1"/>
  <c r="I39" i="4" s="1"/>
  <c r="H42" i="4"/>
  <c r="I42" i="4" s="1"/>
  <c r="H54" i="4"/>
  <c r="I54" i="4" s="1"/>
  <c r="H27" i="4"/>
  <c r="I27" i="4" s="1"/>
  <c r="H24" i="4"/>
  <c r="I24" i="4" s="1"/>
  <c r="H18" i="4"/>
  <c r="I18" i="4" s="1"/>
  <c r="H12" i="4"/>
  <c r="I12" i="4" s="1"/>
  <c r="H51" i="4"/>
  <c r="I51" i="4" s="1"/>
  <c r="H36" i="4"/>
  <c r="I36" i="4" s="1"/>
  <c r="H30" i="4"/>
  <c r="I30" i="4" s="1"/>
  <c r="BB96" i="2"/>
  <c r="BC96" i="2" s="1"/>
  <c r="U96" i="2"/>
  <c r="BB93" i="2"/>
  <c r="AQ96" i="2"/>
  <c r="AR96" i="2" s="1"/>
  <c r="U93" i="2"/>
  <c r="BB90" i="2"/>
  <c r="AQ93" i="2"/>
  <c r="AF96" i="2"/>
  <c r="AG96" i="2" s="1"/>
  <c r="U90" i="2"/>
  <c r="BM96" i="2"/>
  <c r="AQ90" i="2"/>
  <c r="AF93" i="2"/>
  <c r="AG93" i="2" s="1"/>
  <c r="D183" i="3" s="1"/>
  <c r="M177" i="3" s="1"/>
  <c r="AB42" i="3" s="1"/>
  <c r="AE82" i="3" s="1"/>
  <c r="BM93" i="2"/>
  <c r="AF90" i="2"/>
  <c r="BM90" i="2"/>
  <c r="AF84" i="2"/>
  <c r="AF81" i="2"/>
  <c r="AG81" i="2" s="1"/>
  <c r="U54" i="2"/>
  <c r="V54" i="2" s="1"/>
  <c r="BM54" i="2"/>
  <c r="K132" i="2"/>
  <c r="D57" i="3"/>
  <c r="I57" i="3" s="1"/>
  <c r="X33" i="3" s="1"/>
  <c r="Y76" i="3" s="1"/>
  <c r="U84" i="2"/>
  <c r="AF87" i="2"/>
  <c r="AG87" i="2" s="1"/>
  <c r="D144" i="3" s="1"/>
  <c r="M138" i="3" s="1"/>
  <c r="AB40" i="3" s="1"/>
  <c r="AC83" i="3" s="1"/>
  <c r="I129" i="2"/>
  <c r="BM81" i="2"/>
  <c r="BM84" i="2"/>
  <c r="BN84" i="2" s="1"/>
  <c r="BN158" i="2" s="1"/>
  <c r="BM87" i="2"/>
  <c r="BN87" i="2" s="1"/>
  <c r="D153" i="3" s="1"/>
  <c r="S138" i="3" s="1"/>
  <c r="AH40" i="3" s="1"/>
  <c r="AC92" i="3" s="1"/>
  <c r="U87" i="2"/>
  <c r="AQ84" i="2"/>
  <c r="AR84" i="2" s="1"/>
  <c r="U72" i="2"/>
  <c r="V72" i="2" s="1"/>
  <c r="BB87" i="2"/>
  <c r="BB81" i="2"/>
  <c r="J78" i="2"/>
  <c r="K78" i="2" s="1"/>
  <c r="D98" i="3" s="1"/>
  <c r="U81" i="2"/>
  <c r="AQ81" i="2"/>
  <c r="AR81" i="2" s="1"/>
  <c r="J81" i="2"/>
  <c r="J155" i="2" s="1"/>
  <c r="AQ87" i="2"/>
  <c r="AR87" i="2" s="1"/>
  <c r="BB84" i="2"/>
  <c r="BC84" i="2" s="1"/>
  <c r="J72" i="2"/>
  <c r="AQ60" i="2"/>
  <c r="BB57" i="2"/>
  <c r="BM57" i="2"/>
  <c r="BN57" i="2" s="1"/>
  <c r="BB54" i="2"/>
  <c r="BC54" i="2" s="1"/>
  <c r="AF60" i="2"/>
  <c r="AG60" i="2" s="1"/>
  <c r="D24" i="3" s="1"/>
  <c r="M18" i="3" s="1"/>
  <c r="AB31" i="3" s="1"/>
  <c r="W83" i="3" s="1"/>
  <c r="AF57" i="2"/>
  <c r="AG57" i="2" s="1"/>
  <c r="D23" i="3" s="1"/>
  <c r="M17" i="3" s="1"/>
  <c r="AB30" i="3" s="1"/>
  <c r="W82" i="3" s="1"/>
  <c r="U60" i="2"/>
  <c r="AF54" i="2"/>
  <c r="AG54" i="2" s="1"/>
  <c r="D22" i="3" s="1"/>
  <c r="U57" i="2"/>
  <c r="BM60" i="2"/>
  <c r="BB60" i="2"/>
  <c r="AQ54" i="2"/>
  <c r="AR54" i="2" s="1"/>
  <c r="AQ57" i="2"/>
  <c r="J75" i="2"/>
  <c r="J145" i="2" s="1"/>
  <c r="J54" i="2"/>
  <c r="J116" i="2" s="1"/>
  <c r="J69" i="2"/>
  <c r="K69" i="2" s="1"/>
  <c r="J60" i="2"/>
  <c r="BB78" i="2"/>
  <c r="BC78" i="2" s="1"/>
  <c r="BM78" i="2"/>
  <c r="BM75" i="2"/>
  <c r="BN75" i="2" s="1"/>
  <c r="D112" i="3" s="1"/>
  <c r="S97" i="3" s="1"/>
  <c r="AH36" i="3" s="1"/>
  <c r="AA91" i="3" s="1"/>
  <c r="BM72" i="2"/>
  <c r="BN72" i="2" s="1"/>
  <c r="AF75" i="2"/>
  <c r="AG75" i="2" s="1"/>
  <c r="AQ72" i="2"/>
  <c r="AR72" i="2" s="1"/>
  <c r="AQ78" i="2"/>
  <c r="AR78" i="2" s="1"/>
  <c r="AF78" i="2"/>
  <c r="AG78" i="2" s="1"/>
  <c r="U75" i="2"/>
  <c r="AQ75" i="2"/>
  <c r="AQ145" i="2" s="1"/>
  <c r="AF72" i="2"/>
  <c r="BB72" i="2"/>
  <c r="BC72" i="2" s="1"/>
  <c r="BB75" i="2"/>
  <c r="U78" i="2"/>
  <c r="AF66" i="2"/>
  <c r="AG66" i="2" s="1"/>
  <c r="AQ69" i="2"/>
  <c r="AR69" i="2" s="1"/>
  <c r="AF69" i="2"/>
  <c r="AG69" i="2" s="1"/>
  <c r="U66" i="2"/>
  <c r="V66" i="2" s="1"/>
  <c r="AQ66" i="2"/>
  <c r="AR66" i="2" s="1"/>
  <c r="D66" i="3" s="1"/>
  <c r="O57" i="3" s="1"/>
  <c r="AD33" i="3" s="1"/>
  <c r="Y85" i="3" s="1"/>
  <c r="U63" i="2"/>
  <c r="U129" i="2" s="1"/>
  <c r="AQ63" i="2"/>
  <c r="AR63" i="2" s="1"/>
  <c r="BM69" i="2"/>
  <c r="U69" i="2"/>
  <c r="V69" i="2" s="1"/>
  <c r="BM66" i="2"/>
  <c r="BB66" i="2"/>
  <c r="BC66" i="2" s="1"/>
  <c r="BB63" i="2"/>
  <c r="BC63" i="2" s="1"/>
  <c r="BM63" i="2"/>
  <c r="BN63" i="2" s="1"/>
  <c r="BB69" i="2"/>
  <c r="BC69" i="2" s="1"/>
  <c r="D70" i="3" s="1"/>
  <c r="Q58" i="3" s="1"/>
  <c r="AF34" i="3" s="1"/>
  <c r="Y89" i="3" s="1"/>
  <c r="AF63" i="2"/>
  <c r="AG63" i="2" s="1"/>
  <c r="J57" i="2"/>
  <c r="J63" i="2"/>
  <c r="J129" i="2" s="1"/>
  <c r="J132" i="2"/>
  <c r="I168" i="2"/>
  <c r="J93" i="2"/>
  <c r="K96" i="2"/>
  <c r="J174" i="2"/>
  <c r="I116" i="2"/>
  <c r="J90" i="2"/>
  <c r="I155" i="2"/>
  <c r="J84" i="2"/>
  <c r="J87" i="2"/>
  <c r="BN90" i="2" l="1"/>
  <c r="BM168" i="2"/>
  <c r="D191" i="3"/>
  <c r="S176" i="3" s="1"/>
  <c r="AH41" i="3" s="1"/>
  <c r="AE90" i="3" s="1"/>
  <c r="BN168" i="2"/>
  <c r="D142" i="3"/>
  <c r="M136" i="3" s="1"/>
  <c r="AB38" i="3" s="1"/>
  <c r="AC81" i="3" s="1"/>
  <c r="AG155" i="2"/>
  <c r="D184" i="3"/>
  <c r="M178" i="3" s="1"/>
  <c r="AB43" i="3" s="1"/>
  <c r="AE83" i="3" s="1"/>
  <c r="AG174" i="2"/>
  <c r="AG84" i="2"/>
  <c r="AG158" i="2" s="1"/>
  <c r="AF158" i="2"/>
  <c r="AG90" i="2"/>
  <c r="AF168" i="2"/>
  <c r="BN93" i="2"/>
  <c r="BN171" i="2" s="1"/>
  <c r="BM171" i="2"/>
  <c r="BN96" i="2"/>
  <c r="BM174" i="2"/>
  <c r="BN81" i="2"/>
  <c r="D151" i="3" s="1"/>
  <c r="S136" i="3" s="1"/>
  <c r="AH38" i="3" s="1"/>
  <c r="AC90" i="3" s="1"/>
  <c r="BM155" i="2"/>
  <c r="BC81" i="2"/>
  <c r="BB155" i="2"/>
  <c r="J148" i="2"/>
  <c r="D152" i="3"/>
  <c r="S137" i="3" s="1"/>
  <c r="AH39" i="3" s="1"/>
  <c r="AC91" i="3" s="1"/>
  <c r="V132" i="2"/>
  <c r="D60" i="3"/>
  <c r="K57" i="3" s="1"/>
  <c r="Z33" i="3" s="1"/>
  <c r="Y79" i="3" s="1"/>
  <c r="AR129" i="2"/>
  <c r="D65" i="3"/>
  <c r="AG129" i="2"/>
  <c r="D62" i="3"/>
  <c r="BM161" i="2"/>
  <c r="AG135" i="2"/>
  <c r="D64" i="3"/>
  <c r="M58" i="3" s="1"/>
  <c r="AB34" i="3" s="1"/>
  <c r="Y83" i="3" s="1"/>
  <c r="K135" i="2"/>
  <c r="D58" i="3"/>
  <c r="I58" i="3" s="1"/>
  <c r="X34" i="3" s="1"/>
  <c r="Y77" i="3" s="1"/>
  <c r="BN161" i="2"/>
  <c r="BC132" i="2"/>
  <c r="D69" i="3"/>
  <c r="Q57" i="3" s="1"/>
  <c r="AF33" i="3" s="1"/>
  <c r="Y88" i="3" s="1"/>
  <c r="AQ132" i="2"/>
  <c r="BN155" i="2"/>
  <c r="AR135" i="2"/>
  <c r="D67" i="3"/>
  <c r="O58" i="3" s="1"/>
  <c r="AD34" i="3" s="1"/>
  <c r="Y86" i="3" s="1"/>
  <c r="AR132" i="2"/>
  <c r="BC135" i="2"/>
  <c r="V135" i="2"/>
  <c r="D61" i="3"/>
  <c r="K58" i="3" s="1"/>
  <c r="Z34" i="3" s="1"/>
  <c r="Y80" i="3" s="1"/>
  <c r="K81" i="2"/>
  <c r="BN129" i="2"/>
  <c r="D71" i="3"/>
  <c r="BC129" i="2"/>
  <c r="D68" i="3"/>
  <c r="AG132" i="2"/>
  <c r="D63" i="3"/>
  <c r="M57" i="3" s="1"/>
  <c r="AB33" i="3" s="1"/>
  <c r="Y82" i="3" s="1"/>
  <c r="U132" i="2"/>
  <c r="BM158" i="2"/>
  <c r="BB135" i="2"/>
  <c r="AG116" i="2"/>
  <c r="AF116" i="2"/>
  <c r="BM145" i="2"/>
  <c r="BN145" i="2"/>
  <c r="AR75" i="2"/>
  <c r="AF148" i="2"/>
  <c r="BB148" i="2"/>
  <c r="AR174" i="2"/>
  <c r="D187" i="3"/>
  <c r="O178" i="3" s="1"/>
  <c r="AD43" i="3" s="1"/>
  <c r="AE86" i="3" s="1"/>
  <c r="K174" i="2"/>
  <c r="D178" i="3"/>
  <c r="I178" i="3" s="1"/>
  <c r="X43" i="3" s="1"/>
  <c r="AE77" i="3" s="1"/>
  <c r="BC174" i="2"/>
  <c r="D190" i="3"/>
  <c r="Q178" i="3" s="1"/>
  <c r="AF43" i="3" s="1"/>
  <c r="AE89" i="3" s="1"/>
  <c r="AR161" i="2"/>
  <c r="D147" i="3"/>
  <c r="O138" i="3" s="1"/>
  <c r="AD40" i="3" s="1"/>
  <c r="AC86" i="3" s="1"/>
  <c r="AR158" i="2"/>
  <c r="D146" i="3"/>
  <c r="O137" i="3" s="1"/>
  <c r="AD39" i="3" s="1"/>
  <c r="AC85" i="3" s="1"/>
  <c r="BC158" i="2"/>
  <c r="D149" i="3"/>
  <c r="Q137" i="3" s="1"/>
  <c r="AF39" i="3" s="1"/>
  <c r="AC88" i="3" s="1"/>
  <c r="AR155" i="2"/>
  <c r="D145" i="3"/>
  <c r="V142" i="2"/>
  <c r="D99" i="3"/>
  <c r="AR142" i="2"/>
  <c r="D105" i="3"/>
  <c r="AR148" i="2"/>
  <c r="D107" i="3"/>
  <c r="O98" i="3" s="1"/>
  <c r="AD37" i="3" s="1"/>
  <c r="AA86" i="3" s="1"/>
  <c r="AG145" i="2"/>
  <c r="D103" i="3"/>
  <c r="M97" i="3" s="1"/>
  <c r="AB36" i="3" s="1"/>
  <c r="AA82" i="3" s="1"/>
  <c r="BN142" i="2"/>
  <c r="D111" i="3"/>
  <c r="BC142" i="2"/>
  <c r="D108" i="3"/>
  <c r="K148" i="2"/>
  <c r="I98" i="3"/>
  <c r="X37" i="3" s="1"/>
  <c r="AA77" i="3" s="1"/>
  <c r="BC148" i="2"/>
  <c r="D110" i="3"/>
  <c r="Q98" i="3" s="1"/>
  <c r="AF37" i="3" s="1"/>
  <c r="AA89" i="3" s="1"/>
  <c r="AG148" i="2"/>
  <c r="D104" i="3"/>
  <c r="M98" i="3" s="1"/>
  <c r="AB37" i="3" s="1"/>
  <c r="AA83" i="3" s="1"/>
  <c r="E22" i="3"/>
  <c r="K21" i="3" s="1"/>
  <c r="Y19" i="3" s="1"/>
  <c r="V66" i="3" s="1"/>
  <c r="M16" i="3"/>
  <c r="AB29" i="3" s="1"/>
  <c r="W81" i="3" s="1"/>
  <c r="F22" i="3"/>
  <c r="K22" i="3" s="1"/>
  <c r="AH19" i="3" s="1"/>
  <c r="AC66" i="3" s="1"/>
  <c r="K63" i="2"/>
  <c r="AR116" i="2"/>
  <c r="D25" i="3"/>
  <c r="BN119" i="2"/>
  <c r="D32" i="3"/>
  <c r="S17" i="3" s="1"/>
  <c r="AH30" i="3" s="1"/>
  <c r="W91" i="3" s="1"/>
  <c r="BC116" i="2"/>
  <c r="D28" i="3"/>
  <c r="BM142" i="2"/>
  <c r="BB142" i="2"/>
  <c r="AQ129" i="2"/>
  <c r="AQ135" i="2"/>
  <c r="AQ142" i="2"/>
  <c r="AF129" i="2"/>
  <c r="J135" i="2"/>
  <c r="BB129" i="2"/>
  <c r="U135" i="2"/>
  <c r="BM119" i="2"/>
  <c r="K54" i="2"/>
  <c r="BB145" i="2"/>
  <c r="BC75" i="2"/>
  <c r="BN54" i="2"/>
  <c r="BM116" i="2"/>
  <c r="BN66" i="2"/>
  <c r="BM132" i="2"/>
  <c r="AQ148" i="2"/>
  <c r="BN69" i="2"/>
  <c r="BM135" i="2"/>
  <c r="AF135" i="2"/>
  <c r="AG72" i="2"/>
  <c r="AF142" i="2"/>
  <c r="BN78" i="2"/>
  <c r="BM148" i="2"/>
  <c r="BN60" i="2"/>
  <c r="BM122" i="2"/>
  <c r="U142" i="2"/>
  <c r="BB132" i="2"/>
  <c r="V75" i="2"/>
  <c r="U145" i="2"/>
  <c r="V78" i="2"/>
  <c r="U148" i="2"/>
  <c r="AF145" i="2"/>
  <c r="K75" i="2"/>
  <c r="AF132" i="2"/>
  <c r="V63" i="2"/>
  <c r="BM129" i="2"/>
  <c r="K72" i="2"/>
  <c r="J142" i="2"/>
  <c r="AQ174" i="2"/>
  <c r="BB174" i="2"/>
  <c r="AQ161" i="2"/>
  <c r="AF155" i="2"/>
  <c r="AQ158" i="2"/>
  <c r="AG161" i="2"/>
  <c r="AF161" i="2"/>
  <c r="BC60" i="2"/>
  <c r="BB122" i="2"/>
  <c r="BC57" i="2"/>
  <c r="BB119" i="2"/>
  <c r="BB116" i="2"/>
  <c r="K84" i="2"/>
  <c r="J158" i="2"/>
  <c r="AR57" i="2"/>
  <c r="AQ119" i="2"/>
  <c r="U168" i="2"/>
  <c r="V90" i="2"/>
  <c r="K93" i="2"/>
  <c r="J171" i="2"/>
  <c r="BC87" i="2"/>
  <c r="BB161" i="2"/>
  <c r="K60" i="2"/>
  <c r="J122" i="2"/>
  <c r="BC93" i="2"/>
  <c r="BB171" i="2"/>
  <c r="AQ116" i="2"/>
  <c r="BB158" i="2"/>
  <c r="AG122" i="2"/>
  <c r="AF122" i="2"/>
  <c r="AR90" i="2"/>
  <c r="AQ168" i="2"/>
  <c r="AG171" i="2"/>
  <c r="AF171" i="2"/>
  <c r="AQ155" i="2"/>
  <c r="V81" i="2"/>
  <c r="U155" i="2"/>
  <c r="J161" i="2"/>
  <c r="K87" i="2"/>
  <c r="U119" i="2"/>
  <c r="V57" i="2"/>
  <c r="V93" i="2"/>
  <c r="U171" i="2"/>
  <c r="V96" i="2"/>
  <c r="U174" i="2"/>
  <c r="U116" i="2"/>
  <c r="U122" i="2"/>
  <c r="V60" i="2"/>
  <c r="AG119" i="2"/>
  <c r="AF119" i="2"/>
  <c r="AF174" i="2"/>
  <c r="V84" i="2"/>
  <c r="U158" i="2"/>
  <c r="K57" i="2"/>
  <c r="J119" i="2"/>
  <c r="AR93" i="2"/>
  <c r="AQ171" i="2"/>
  <c r="K90" i="2"/>
  <c r="J168" i="2"/>
  <c r="V87" i="2"/>
  <c r="U161" i="2"/>
  <c r="AR60" i="2"/>
  <c r="AQ122" i="2"/>
  <c r="BC90" i="2"/>
  <c r="BB168" i="2"/>
  <c r="D143" i="3" l="1"/>
  <c r="M137" i="3" s="1"/>
  <c r="AB39" i="3" s="1"/>
  <c r="AC82" i="3" s="1"/>
  <c r="D192" i="3"/>
  <c r="S177" i="3" s="1"/>
  <c r="AH42" i="3" s="1"/>
  <c r="AE91" i="3" s="1"/>
  <c r="F151" i="3"/>
  <c r="N142" i="3" s="1"/>
  <c r="AK22" i="3" s="1"/>
  <c r="AF69" i="3" s="1"/>
  <c r="E151" i="3"/>
  <c r="N141" i="3" s="1"/>
  <c r="AB22" i="3" s="1"/>
  <c r="Y69" i="3" s="1"/>
  <c r="AG168" i="2"/>
  <c r="D182" i="3"/>
  <c r="D193" i="3"/>
  <c r="BN174" i="2"/>
  <c r="BC155" i="2"/>
  <c r="D148" i="3"/>
  <c r="D136" i="3"/>
  <c r="I136" i="3" s="1"/>
  <c r="X38" i="3" s="1"/>
  <c r="AC75" i="3" s="1"/>
  <c r="K155" i="2"/>
  <c r="AR145" i="2"/>
  <c r="D106" i="3"/>
  <c r="BN132" i="2"/>
  <c r="D72" i="3"/>
  <c r="S57" i="3" s="1"/>
  <c r="AH33" i="3" s="1"/>
  <c r="Y91" i="3" s="1"/>
  <c r="Q56" i="3"/>
  <c r="AF32" i="3" s="1"/>
  <c r="Y87" i="3" s="1"/>
  <c r="F68" i="3"/>
  <c r="M62" i="3" s="1"/>
  <c r="AJ20" i="3" s="1"/>
  <c r="AD68" i="3" s="1"/>
  <c r="E68" i="3"/>
  <c r="M61" i="3" s="1"/>
  <c r="AA20" i="3" s="1"/>
  <c r="W68" i="3" s="1"/>
  <c r="M56" i="3"/>
  <c r="AB32" i="3" s="1"/>
  <c r="Y81" i="3" s="1"/>
  <c r="E62" i="3"/>
  <c r="K61" i="3" s="1"/>
  <c r="Y20" i="3" s="1"/>
  <c r="W66" i="3" s="1"/>
  <c r="F62" i="3"/>
  <c r="K62" i="3" s="1"/>
  <c r="AH20" i="3" s="1"/>
  <c r="AD66" i="3" s="1"/>
  <c r="V129" i="2"/>
  <c r="D59" i="3"/>
  <c r="K129" i="2"/>
  <c r="D56" i="3"/>
  <c r="S56" i="3"/>
  <c r="AH32" i="3" s="1"/>
  <c r="Y90" i="3" s="1"/>
  <c r="BN135" i="2"/>
  <c r="D73" i="3"/>
  <c r="S58" i="3" s="1"/>
  <c r="AH34" i="3" s="1"/>
  <c r="Y92" i="3" s="1"/>
  <c r="F65" i="3"/>
  <c r="L62" i="3" s="1"/>
  <c r="AI20" i="3" s="1"/>
  <c r="AD67" i="3" s="1"/>
  <c r="O56" i="3"/>
  <c r="AD32" i="3" s="1"/>
  <c r="Y84" i="3" s="1"/>
  <c r="E65" i="3"/>
  <c r="L61" i="3" s="1"/>
  <c r="Z20" i="3" s="1"/>
  <c r="W67" i="3" s="1"/>
  <c r="V171" i="2"/>
  <c r="D180" i="3"/>
  <c r="K177" i="3" s="1"/>
  <c r="Z42" i="3" s="1"/>
  <c r="AE79" i="3" s="1"/>
  <c r="AR168" i="2"/>
  <c r="D185" i="3"/>
  <c r="K168" i="2"/>
  <c r="D176" i="3"/>
  <c r="V174" i="2"/>
  <c r="D181" i="3"/>
  <c r="K178" i="3" s="1"/>
  <c r="Z43" i="3" s="1"/>
  <c r="AE80" i="3" s="1"/>
  <c r="K171" i="2"/>
  <c r="D177" i="3"/>
  <c r="I177" i="3" s="1"/>
  <c r="X42" i="3" s="1"/>
  <c r="AE76" i="3" s="1"/>
  <c r="V168" i="2"/>
  <c r="D179" i="3"/>
  <c r="AR171" i="2"/>
  <c r="D186" i="3"/>
  <c r="O177" i="3" s="1"/>
  <c r="AD42" i="3" s="1"/>
  <c r="AE85" i="3" s="1"/>
  <c r="BC168" i="2"/>
  <c r="D188" i="3"/>
  <c r="BC171" i="2"/>
  <c r="D189" i="3"/>
  <c r="Q177" i="3" s="1"/>
  <c r="AF42" i="3" s="1"/>
  <c r="AE88" i="3" s="1"/>
  <c r="V158" i="2"/>
  <c r="D140" i="3"/>
  <c r="K137" i="3" s="1"/>
  <c r="Z39" i="3" s="1"/>
  <c r="AC79" i="3" s="1"/>
  <c r="V155" i="2"/>
  <c r="D139" i="3"/>
  <c r="K158" i="2"/>
  <c r="D137" i="3"/>
  <c r="I137" i="3" s="1"/>
  <c r="X39" i="3" s="1"/>
  <c r="AC76" i="3" s="1"/>
  <c r="V161" i="2"/>
  <c r="D141" i="3"/>
  <c r="K138" i="3" s="1"/>
  <c r="Z40" i="3" s="1"/>
  <c r="AC80" i="3" s="1"/>
  <c r="O136" i="3"/>
  <c r="AD38" i="3" s="1"/>
  <c r="AC84" i="3" s="1"/>
  <c r="F145" i="3"/>
  <c r="L142" i="3" s="1"/>
  <c r="AI22" i="3" s="1"/>
  <c r="AF67" i="3" s="1"/>
  <c r="E145" i="3"/>
  <c r="L141" i="3" s="1"/>
  <c r="Z22" i="3" s="1"/>
  <c r="Y67" i="3" s="1"/>
  <c r="BC161" i="2"/>
  <c r="D150" i="3"/>
  <c r="Q138" i="3" s="1"/>
  <c r="AF40" i="3" s="1"/>
  <c r="AC89" i="3" s="1"/>
  <c r="K161" i="2"/>
  <c r="D138" i="3"/>
  <c r="I138" i="3" s="1"/>
  <c r="X40" i="3" s="1"/>
  <c r="AC77" i="3" s="1"/>
  <c r="V145" i="2"/>
  <c r="D100" i="3"/>
  <c r="K97" i="3" s="1"/>
  <c r="Z36" i="3" s="1"/>
  <c r="AA79" i="3" s="1"/>
  <c r="S96" i="3"/>
  <c r="AH35" i="3" s="1"/>
  <c r="AA90" i="3" s="1"/>
  <c r="K142" i="2"/>
  <c r="D96" i="3"/>
  <c r="BC145" i="2"/>
  <c r="D109" i="3"/>
  <c r="Q97" i="3" s="1"/>
  <c r="AF36" i="3" s="1"/>
  <c r="AA88" i="3" s="1"/>
  <c r="V148" i="2"/>
  <c r="D101" i="3"/>
  <c r="K98" i="3" s="1"/>
  <c r="Z37" i="3" s="1"/>
  <c r="AA80" i="3" s="1"/>
  <c r="Q96" i="3"/>
  <c r="AF35" i="3" s="1"/>
  <c r="AA87" i="3" s="1"/>
  <c r="K96" i="3"/>
  <c r="Z35" i="3" s="1"/>
  <c r="AA78" i="3" s="1"/>
  <c r="K145" i="2"/>
  <c r="D97" i="3"/>
  <c r="I97" i="3" s="1"/>
  <c r="X36" i="3" s="1"/>
  <c r="AA76" i="3" s="1"/>
  <c r="BN148" i="2"/>
  <c r="D113" i="3"/>
  <c r="F105" i="3"/>
  <c r="L102" i="3" s="1"/>
  <c r="AI21" i="3" s="1"/>
  <c r="AE67" i="3" s="1"/>
  <c r="O96" i="3"/>
  <c r="AD35" i="3" s="1"/>
  <c r="AA84" i="3" s="1"/>
  <c r="AG142" i="2"/>
  <c r="D102" i="3"/>
  <c r="Q16" i="3"/>
  <c r="AF29" i="3" s="1"/>
  <c r="W87" i="3" s="1"/>
  <c r="O16" i="3"/>
  <c r="AD29" i="3" s="1"/>
  <c r="W84" i="3" s="1"/>
  <c r="K116" i="2"/>
  <c r="D16" i="3"/>
  <c r="AR122" i="2"/>
  <c r="D27" i="3"/>
  <c r="O18" i="3" s="1"/>
  <c r="AD31" i="3" s="1"/>
  <c r="W86" i="3" s="1"/>
  <c r="K122" i="2"/>
  <c r="D18" i="3"/>
  <c r="I18" i="3" s="1"/>
  <c r="X31" i="3" s="1"/>
  <c r="W77" i="3" s="1"/>
  <c r="V122" i="2"/>
  <c r="D21" i="3"/>
  <c r="K18" i="3" s="1"/>
  <c r="Z31" i="3" s="1"/>
  <c r="W80" i="3" s="1"/>
  <c r="V116" i="2"/>
  <c r="D19" i="3"/>
  <c r="V119" i="2"/>
  <c r="D20" i="3"/>
  <c r="K17" i="3" s="1"/>
  <c r="Z30" i="3" s="1"/>
  <c r="W79" i="3" s="1"/>
  <c r="BC119" i="2"/>
  <c r="D29" i="3"/>
  <c r="Q17" i="3" s="1"/>
  <c r="AF30" i="3" s="1"/>
  <c r="W88" i="3" s="1"/>
  <c r="BC122" i="2"/>
  <c r="D30" i="3"/>
  <c r="Q18" i="3" s="1"/>
  <c r="AF31" i="3" s="1"/>
  <c r="W89" i="3" s="1"/>
  <c r="BN122" i="2"/>
  <c r="D33" i="3"/>
  <c r="S18" i="3" s="1"/>
  <c r="AH31" i="3" s="1"/>
  <c r="W92" i="3" s="1"/>
  <c r="K119" i="2"/>
  <c r="D17" i="3"/>
  <c r="I17" i="3" s="1"/>
  <c r="X30" i="3" s="1"/>
  <c r="W76" i="3" s="1"/>
  <c r="AR119" i="2"/>
  <c r="D26" i="3"/>
  <c r="O17" i="3" s="1"/>
  <c r="AD30" i="3" s="1"/>
  <c r="W85" i="3" s="1"/>
  <c r="BN116" i="2"/>
  <c r="D31" i="3"/>
  <c r="F108" i="3" l="1"/>
  <c r="M102" i="3" s="1"/>
  <c r="AJ21" i="3" s="1"/>
  <c r="AE68" i="3" s="1"/>
  <c r="F142" i="3"/>
  <c r="K142" i="3" s="1"/>
  <c r="AH22" i="3" s="1"/>
  <c r="AF66" i="3" s="1"/>
  <c r="E142" i="3"/>
  <c r="K141" i="3" s="1"/>
  <c r="Y22" i="3" s="1"/>
  <c r="Y66" i="3" s="1"/>
  <c r="O97" i="3"/>
  <c r="AD36" i="3" s="1"/>
  <c r="AA85" i="3" s="1"/>
  <c r="E105" i="3"/>
  <c r="L101" i="3" s="1"/>
  <c r="Z21" i="3" s="1"/>
  <c r="X67" i="3" s="1"/>
  <c r="Q136" i="3"/>
  <c r="AF38" i="3" s="1"/>
  <c r="AC87" i="3" s="1"/>
  <c r="E148" i="3"/>
  <c r="M141" i="3" s="1"/>
  <c r="AA22" i="3" s="1"/>
  <c r="Y68" i="3" s="1"/>
  <c r="S98" i="3"/>
  <c r="AH37" i="3" s="1"/>
  <c r="AA92" i="3" s="1"/>
  <c r="E111" i="3"/>
  <c r="N101" i="3" s="1"/>
  <c r="AB21" i="3" s="1"/>
  <c r="X69" i="3" s="1"/>
  <c r="F182" i="3"/>
  <c r="K182" i="3" s="1"/>
  <c r="AH23" i="3" s="1"/>
  <c r="AG66" i="3" s="1"/>
  <c r="E182" i="3"/>
  <c r="K181" i="3" s="1"/>
  <c r="Y23" i="3" s="1"/>
  <c r="Z66" i="3" s="1"/>
  <c r="M176" i="3"/>
  <c r="AB41" i="3" s="1"/>
  <c r="AE81" i="3" s="1"/>
  <c r="S178" i="3"/>
  <c r="AH43" i="3" s="1"/>
  <c r="AE92" i="3" s="1"/>
  <c r="F191" i="3"/>
  <c r="N182" i="3" s="1"/>
  <c r="AK23" i="3" s="1"/>
  <c r="AG69" i="3" s="1"/>
  <c r="E191" i="3"/>
  <c r="N181" i="3" s="1"/>
  <c r="AB23" i="3" s="1"/>
  <c r="Z69" i="3" s="1"/>
  <c r="E96" i="3"/>
  <c r="I101" i="3" s="1"/>
  <c r="W21" i="3" s="1"/>
  <c r="X64" i="3" s="1"/>
  <c r="K56" i="3"/>
  <c r="Z32" i="3" s="1"/>
  <c r="Y78" i="3" s="1"/>
  <c r="E59" i="3"/>
  <c r="J61" i="3" s="1"/>
  <c r="X20" i="3" s="1"/>
  <c r="W65" i="3" s="1"/>
  <c r="F59" i="3"/>
  <c r="J62" i="3" s="1"/>
  <c r="AG20" i="3" s="1"/>
  <c r="AD65" i="3" s="1"/>
  <c r="F71" i="3"/>
  <c r="N62" i="3" s="1"/>
  <c r="AK20" i="3" s="1"/>
  <c r="AD69" i="3" s="1"/>
  <c r="F56" i="3"/>
  <c r="I62" i="3" s="1"/>
  <c r="AF20" i="3" s="1"/>
  <c r="AD64" i="3" s="1"/>
  <c r="E56" i="3"/>
  <c r="I61" i="3" s="1"/>
  <c r="W20" i="3" s="1"/>
  <c r="W64" i="3" s="1"/>
  <c r="I56" i="3"/>
  <c r="X32" i="3" s="1"/>
  <c r="Y75" i="3" s="1"/>
  <c r="E71" i="3"/>
  <c r="N61" i="3" s="1"/>
  <c r="AB20" i="3" s="1"/>
  <c r="W69" i="3" s="1"/>
  <c r="F148" i="3"/>
  <c r="M142" i="3" s="1"/>
  <c r="AJ22" i="3" s="1"/>
  <c r="AF68" i="3" s="1"/>
  <c r="F111" i="3"/>
  <c r="N102" i="3" s="1"/>
  <c r="AK21" i="3" s="1"/>
  <c r="AE69" i="3" s="1"/>
  <c r="E108" i="3"/>
  <c r="M101" i="3" s="1"/>
  <c r="AA21" i="3" s="1"/>
  <c r="X68" i="3" s="1"/>
  <c r="E99" i="3"/>
  <c r="J101" i="3" s="1"/>
  <c r="X21" i="3" s="1"/>
  <c r="X65" i="3" s="1"/>
  <c r="F99" i="3"/>
  <c r="J102" i="3" s="1"/>
  <c r="AG21" i="3" s="1"/>
  <c r="AE65" i="3" s="1"/>
  <c r="Q176" i="3"/>
  <c r="AF41" i="3" s="1"/>
  <c r="AE87" i="3" s="1"/>
  <c r="F188" i="3"/>
  <c r="M182" i="3" s="1"/>
  <c r="AJ23" i="3" s="1"/>
  <c r="AG68" i="3" s="1"/>
  <c r="E188" i="3"/>
  <c r="M181" i="3" s="1"/>
  <c r="AA23" i="3" s="1"/>
  <c r="Z68" i="3" s="1"/>
  <c r="I176" i="3"/>
  <c r="X41" i="3" s="1"/>
  <c r="AE75" i="3" s="1"/>
  <c r="E176" i="3"/>
  <c r="I181" i="3" s="1"/>
  <c r="W23" i="3" s="1"/>
  <c r="Z64" i="3" s="1"/>
  <c r="F176" i="3"/>
  <c r="I182" i="3" s="1"/>
  <c r="AF23" i="3" s="1"/>
  <c r="AG64" i="3" s="1"/>
  <c r="O176" i="3"/>
  <c r="AD41" i="3" s="1"/>
  <c r="AE84" i="3" s="1"/>
  <c r="F185" i="3"/>
  <c r="L182" i="3" s="1"/>
  <c r="AI23" i="3" s="1"/>
  <c r="AG67" i="3" s="1"/>
  <c r="E185" i="3"/>
  <c r="L181" i="3" s="1"/>
  <c r="Z23" i="3" s="1"/>
  <c r="Z67" i="3" s="1"/>
  <c r="K176" i="3"/>
  <c r="Z41" i="3" s="1"/>
  <c r="AE78" i="3" s="1"/>
  <c r="E179" i="3"/>
  <c r="J181" i="3" s="1"/>
  <c r="X23" i="3" s="1"/>
  <c r="Z65" i="3" s="1"/>
  <c r="F179" i="3"/>
  <c r="J182" i="3" s="1"/>
  <c r="AG23" i="3" s="1"/>
  <c r="AG65" i="3" s="1"/>
  <c r="F136" i="3"/>
  <c r="I142" i="3" s="1"/>
  <c r="AF22" i="3" s="1"/>
  <c r="AF64" i="3" s="1"/>
  <c r="K136" i="3"/>
  <c r="Z38" i="3" s="1"/>
  <c r="AC78" i="3" s="1"/>
  <c r="E139" i="3"/>
  <c r="J141" i="3" s="1"/>
  <c r="X22" i="3" s="1"/>
  <c r="Y65" i="3" s="1"/>
  <c r="F139" i="3"/>
  <c r="J142" i="3" s="1"/>
  <c r="AG22" i="3" s="1"/>
  <c r="AF65" i="3" s="1"/>
  <c r="E136" i="3"/>
  <c r="I141" i="3" s="1"/>
  <c r="W22" i="3" s="1"/>
  <c r="Y64" i="3" s="1"/>
  <c r="M96" i="3"/>
  <c r="AB35" i="3" s="1"/>
  <c r="AA81" i="3" s="1"/>
  <c r="F102" i="3"/>
  <c r="K102" i="3" s="1"/>
  <c r="AH21" i="3" s="1"/>
  <c r="AE66" i="3" s="1"/>
  <c r="E102" i="3"/>
  <c r="K101" i="3" s="1"/>
  <c r="Y21" i="3" s="1"/>
  <c r="X66" i="3" s="1"/>
  <c r="I96" i="3"/>
  <c r="X35" i="3" s="1"/>
  <c r="AA75" i="3" s="1"/>
  <c r="F96" i="3"/>
  <c r="I102" i="3" s="1"/>
  <c r="AF21" i="3" s="1"/>
  <c r="AE64" i="3" s="1"/>
  <c r="E31" i="3"/>
  <c r="N21" i="3" s="1"/>
  <c r="AB19" i="3" s="1"/>
  <c r="V69" i="3" s="1"/>
  <c r="S16" i="3"/>
  <c r="AH29" i="3" s="1"/>
  <c r="W90" i="3" s="1"/>
  <c r="F31" i="3"/>
  <c r="N22" i="3" s="1"/>
  <c r="AK19" i="3" s="1"/>
  <c r="AC69" i="3" s="1"/>
  <c r="F25" i="3"/>
  <c r="L22" i="3" s="1"/>
  <c r="AI19" i="3" s="1"/>
  <c r="AC67" i="3" s="1"/>
  <c r="E16" i="3"/>
  <c r="I21" i="3" s="1"/>
  <c r="W19" i="3" s="1"/>
  <c r="V64" i="3" s="1"/>
  <c r="I16" i="3"/>
  <c r="X29" i="3" s="1"/>
  <c r="W75" i="3" s="1"/>
  <c r="F16" i="3"/>
  <c r="I22" i="3" s="1"/>
  <c r="AF19" i="3" s="1"/>
  <c r="AC64" i="3" s="1"/>
  <c r="K16" i="3"/>
  <c r="Z29" i="3" s="1"/>
  <c r="W78" i="3" s="1"/>
  <c r="F19" i="3"/>
  <c r="J22" i="3" s="1"/>
  <c r="AG19" i="3" s="1"/>
  <c r="AC65" i="3" s="1"/>
  <c r="E19" i="3"/>
  <c r="J21" i="3" s="1"/>
  <c r="X19" i="3" s="1"/>
  <c r="V65" i="3" s="1"/>
  <c r="E25" i="3"/>
  <c r="L21" i="3" s="1"/>
  <c r="Z19" i="3" s="1"/>
  <c r="V67" i="3" s="1"/>
  <c r="F28" i="3"/>
  <c r="M22" i="3" s="1"/>
  <c r="AJ19" i="3" s="1"/>
  <c r="AC68" i="3" s="1"/>
  <c r="E28" i="3"/>
  <c r="M21" i="3" s="1"/>
  <c r="AA19" i="3" s="1"/>
  <c r="V6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Noor Abdelwahab</author>
  </authors>
  <commentList>
    <comment ref="E2" authorId="0" shapeId="0" xr:uid="{66EA964A-2C61-4FAC-B7D8-8BE0B4F98733}">
      <text>
        <r>
          <rPr>
            <b/>
            <sz val="10"/>
            <color rgb="FF000000"/>
            <rFont val="Tahoma"/>
            <family val="2"/>
          </rPr>
          <t>Noor Abdelwahab:</t>
        </r>
        <r>
          <rPr>
            <sz val="10"/>
            <color rgb="FF000000"/>
            <rFont val="Tahoma"/>
            <family val="2"/>
          </rPr>
          <t xml:space="preserve">
</t>
        </r>
        <r>
          <rPr>
            <sz val="10"/>
            <color rgb="FF000000"/>
            <rFont val="Tahoma"/>
            <family val="2"/>
          </rPr>
          <t>Average of the Cq values of the three technical replicates</t>
        </r>
      </text>
    </comment>
    <comment ref="F2" authorId="0" shapeId="0" xr:uid="{59DA1F45-E268-4473-A6CD-16842DA6200E}">
      <text>
        <r>
          <rPr>
            <b/>
            <sz val="10"/>
            <color rgb="FF000000"/>
            <rFont val="Tahoma"/>
            <family val="2"/>
          </rPr>
          <t>Noor Abdelwahab:</t>
        </r>
        <r>
          <rPr>
            <sz val="10"/>
            <color rgb="FF000000"/>
            <rFont val="Tahoma"/>
            <family val="2"/>
          </rPr>
          <t xml:space="preserve">
</t>
        </r>
        <r>
          <rPr>
            <sz val="10"/>
            <color rgb="FF000000"/>
            <rFont val="Tahoma"/>
            <family val="2"/>
          </rPr>
          <t>Cq of test gene - housekeeping gene (of the same sample; ex. cMET WT1 Cq - GAPDH WT1 Cq ...) This will not be done for the housekeeping genes so I blacked them out.</t>
        </r>
      </text>
    </comment>
    <comment ref="G2" authorId="0" shapeId="0" xr:uid="{F0650826-40DA-4E6D-8570-04A631B7217A}">
      <text>
        <r>
          <rPr>
            <b/>
            <sz val="10"/>
            <color rgb="FF000000"/>
            <rFont val="Tahoma"/>
            <family val="2"/>
          </rPr>
          <t>Noor Abdelwahab:</t>
        </r>
        <r>
          <rPr>
            <sz val="10"/>
            <color rgb="FF000000"/>
            <rFont val="Tahoma"/>
            <family val="2"/>
          </rPr>
          <t xml:space="preserve">
</t>
        </r>
        <r>
          <rPr>
            <sz val="10"/>
            <color rgb="FF000000"/>
            <rFont val="Tahoma"/>
            <family val="2"/>
          </rPr>
          <t>Average Cq values for this gene of control (ex. WT) samples. Will not be done for treatment (ex. HET) samples. This will become more intricate once we add siRNA and HGF treatments though so be aware.</t>
        </r>
      </text>
    </comment>
    <comment ref="H2" authorId="0" shapeId="0" xr:uid="{F723E4D8-070F-4BAD-BBFD-23F22EADB9F4}">
      <text>
        <r>
          <rPr>
            <b/>
            <sz val="10"/>
            <color rgb="FF000000"/>
            <rFont val="Tahoma"/>
            <family val="2"/>
          </rPr>
          <t>Noor Abdelwahab:</t>
        </r>
        <r>
          <rPr>
            <sz val="10"/>
            <color rgb="FF000000"/>
            <rFont val="Tahoma"/>
            <family val="2"/>
          </rPr>
          <t xml:space="preserve">
</t>
        </r>
        <r>
          <rPr>
            <sz val="10"/>
            <color rgb="FF000000"/>
            <rFont val="Tahoma"/>
            <family val="2"/>
          </rPr>
          <t>∆Cq of the sample subtracted by the average ∆cq of the control group. This is done per gene for each individual sample.</t>
        </r>
      </text>
    </comment>
    <comment ref="I2" authorId="0" shapeId="0" xr:uid="{0A550B67-867B-45A8-B38E-DB813DDE064B}">
      <text>
        <r>
          <rPr>
            <b/>
            <sz val="10"/>
            <color rgb="FF000000"/>
            <rFont val="Tahoma"/>
            <family val="2"/>
          </rPr>
          <t>Noor Abdelwahab:</t>
        </r>
        <r>
          <rPr>
            <sz val="10"/>
            <color rgb="FF000000"/>
            <rFont val="Tahoma"/>
            <family val="2"/>
          </rPr>
          <t xml:space="preserve">
</t>
        </r>
        <r>
          <rPr>
            <sz val="10"/>
            <color rgb="FF000000"/>
            <rFont val="Tahoma"/>
            <family val="2"/>
          </rPr>
          <t>This is what will give you the fold change (its the number we want, you'll make a bar graph with this later)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Noor Abdelwahab</author>
  </authors>
  <commentList>
    <comment ref="E3" authorId="0" shapeId="0" xr:uid="{7E93D634-7ADF-264B-B683-83A47C2B5879}">
      <text>
        <r>
          <rPr>
            <b/>
            <sz val="10"/>
            <color rgb="FF000000"/>
            <rFont val="Tahoma"/>
            <family val="2"/>
          </rPr>
          <t>Noor Abdelwahab:</t>
        </r>
        <r>
          <rPr>
            <sz val="10"/>
            <color rgb="FF000000"/>
            <rFont val="Tahoma"/>
            <family val="2"/>
          </rPr>
          <t xml:space="preserve">
</t>
        </r>
        <r>
          <rPr>
            <sz val="10"/>
            <color rgb="FF000000"/>
            <rFont val="Tahoma"/>
            <family val="2"/>
          </rPr>
          <t>Copy and paste this information from the results sheet</t>
        </r>
      </text>
    </comment>
    <comment ref="Q3" authorId="0" shapeId="0" xr:uid="{2AC7CC6F-A905-0449-B3FF-4FD5ACFBFD27}">
      <text>
        <r>
          <rPr>
            <b/>
            <sz val="10"/>
            <color rgb="FF000000"/>
            <rFont val="Tahoma"/>
            <family val="2"/>
          </rPr>
          <t>Noor Abdelwahab:</t>
        </r>
        <r>
          <rPr>
            <sz val="10"/>
            <color rgb="FF000000"/>
            <rFont val="Tahoma"/>
            <family val="2"/>
          </rPr>
          <t xml:space="preserve">
</t>
        </r>
        <r>
          <rPr>
            <sz val="10"/>
            <color rgb="FF000000"/>
            <rFont val="Tahoma"/>
            <family val="2"/>
          </rPr>
          <t>Copy and paste this information from the results sheet</t>
        </r>
      </text>
    </comment>
    <comment ref="AB3" authorId="0" shapeId="0" xr:uid="{7B32C583-771A-964E-8EA7-4C3E9C55D3DC}">
      <text>
        <r>
          <rPr>
            <b/>
            <sz val="10"/>
            <color rgb="FF000000"/>
            <rFont val="Tahoma"/>
            <family val="2"/>
          </rPr>
          <t>Noor Abdelwahab:</t>
        </r>
        <r>
          <rPr>
            <sz val="10"/>
            <color rgb="FF000000"/>
            <rFont val="Tahoma"/>
            <family val="2"/>
          </rPr>
          <t xml:space="preserve">
</t>
        </r>
        <r>
          <rPr>
            <sz val="10"/>
            <color rgb="FF000000"/>
            <rFont val="Tahoma"/>
            <family val="2"/>
          </rPr>
          <t>Copy and paste this information from the results sheet</t>
        </r>
      </text>
    </comment>
    <comment ref="AM3" authorId="0" shapeId="0" xr:uid="{25F935B6-8E41-7D4F-9540-19E90E0DB7A3}">
      <text>
        <r>
          <rPr>
            <b/>
            <sz val="10"/>
            <color rgb="FF000000"/>
            <rFont val="Tahoma"/>
            <family val="2"/>
          </rPr>
          <t>Noor Abdelwahab:</t>
        </r>
        <r>
          <rPr>
            <sz val="10"/>
            <color rgb="FF000000"/>
            <rFont val="Tahoma"/>
            <family val="2"/>
          </rPr>
          <t xml:space="preserve">
</t>
        </r>
        <r>
          <rPr>
            <sz val="10"/>
            <color rgb="FF000000"/>
            <rFont val="Tahoma"/>
            <family val="2"/>
          </rPr>
          <t>Copy and paste this information from the results sheet</t>
        </r>
      </text>
    </comment>
    <comment ref="AX3" authorId="0" shapeId="0" xr:uid="{EAA62C24-4149-B34A-A364-1C0FF4073205}">
      <text>
        <r>
          <rPr>
            <b/>
            <sz val="10"/>
            <color rgb="FF000000"/>
            <rFont val="Tahoma"/>
            <family val="2"/>
          </rPr>
          <t>Noor Abdelwahab:</t>
        </r>
        <r>
          <rPr>
            <sz val="10"/>
            <color rgb="FF000000"/>
            <rFont val="Tahoma"/>
            <family val="2"/>
          </rPr>
          <t xml:space="preserve">
</t>
        </r>
        <r>
          <rPr>
            <sz val="10"/>
            <color rgb="FF000000"/>
            <rFont val="Tahoma"/>
            <family val="2"/>
          </rPr>
          <t>Copy and paste this information from the results sheet</t>
        </r>
      </text>
    </comment>
    <comment ref="BI3" authorId="0" shapeId="0" xr:uid="{7D174002-4552-8F44-8A3A-BE23312D1A39}">
      <text>
        <r>
          <rPr>
            <b/>
            <sz val="10"/>
            <color rgb="FF000000"/>
            <rFont val="Tahoma"/>
            <family val="2"/>
          </rPr>
          <t>Noor Abdelwahab:</t>
        </r>
        <r>
          <rPr>
            <sz val="10"/>
            <color rgb="FF000000"/>
            <rFont val="Tahoma"/>
            <family val="2"/>
          </rPr>
          <t xml:space="preserve">
</t>
        </r>
        <r>
          <rPr>
            <sz val="10"/>
            <color rgb="FF000000"/>
            <rFont val="Tahoma"/>
            <family val="2"/>
          </rPr>
          <t>Copy and paste this information from the results sheet</t>
        </r>
      </text>
    </comment>
    <comment ref="G44" authorId="0" shapeId="0" xr:uid="{CC6818EA-D6EF-FC40-A3C4-D849D41ECD2F}">
      <text>
        <r>
          <rPr>
            <b/>
            <sz val="10"/>
            <color rgb="FF000000"/>
            <rFont val="Tahoma"/>
            <family val="2"/>
          </rPr>
          <t>Noor Abdelwahab:</t>
        </r>
        <r>
          <rPr>
            <sz val="10"/>
            <color rgb="FF000000"/>
            <rFont val="Tahoma"/>
            <family val="2"/>
          </rPr>
          <t xml:space="preserve">
</t>
        </r>
        <r>
          <rPr>
            <sz val="10"/>
            <color rgb="FF000000"/>
            <rFont val="Tahoma"/>
            <family val="2"/>
          </rPr>
          <t>Average of the Cq values of the three technical replicates</t>
        </r>
      </text>
    </comment>
    <comment ref="H44" authorId="0" shapeId="0" xr:uid="{BBAA3B32-2001-D941-B833-308ACD4126AB}">
      <text>
        <r>
          <rPr>
            <b/>
            <sz val="10"/>
            <color rgb="FF000000"/>
            <rFont val="Tahoma"/>
            <family val="2"/>
          </rPr>
          <t>Noor Abdelwahab:</t>
        </r>
        <r>
          <rPr>
            <sz val="10"/>
            <color rgb="FF000000"/>
            <rFont val="Tahoma"/>
            <family val="2"/>
          </rPr>
          <t xml:space="preserve">
</t>
        </r>
        <r>
          <rPr>
            <sz val="10"/>
            <color rgb="FF000000"/>
            <rFont val="Tahoma"/>
            <family val="2"/>
          </rPr>
          <t>Cq of test gene - housekeeping gene (of the same sample; ex. cMET WT1 Cq - GAPDH WT1 Cq ...) This will not be done for the housekeeping genes so I blacked them out.</t>
        </r>
      </text>
    </comment>
    <comment ref="I44" authorId="0" shapeId="0" xr:uid="{96CD0792-D145-CD44-A4FB-A48D494B465D}">
      <text>
        <r>
          <rPr>
            <b/>
            <sz val="10"/>
            <color rgb="FF000000"/>
            <rFont val="Tahoma"/>
            <family val="2"/>
          </rPr>
          <t>Noor Abdelwahab:</t>
        </r>
        <r>
          <rPr>
            <sz val="10"/>
            <color rgb="FF000000"/>
            <rFont val="Tahoma"/>
            <family val="2"/>
          </rPr>
          <t xml:space="preserve">
</t>
        </r>
        <r>
          <rPr>
            <sz val="10"/>
            <color rgb="FF000000"/>
            <rFont val="Tahoma"/>
            <family val="2"/>
          </rPr>
          <t>Average Cq values for this gene of control (ex. WT) samples. Will not be done for treatment (ex. HET) samples. This will become more intricate once we add siRNA and HGF treatments though so be aware.</t>
        </r>
      </text>
    </comment>
    <comment ref="J44" authorId="0" shapeId="0" xr:uid="{B46ED449-88C6-E240-BD8E-BA8D8A9D9C81}">
      <text>
        <r>
          <rPr>
            <b/>
            <sz val="10"/>
            <color rgb="FF000000"/>
            <rFont val="Tahoma"/>
            <family val="2"/>
          </rPr>
          <t>Noor Abdelwahab:</t>
        </r>
        <r>
          <rPr>
            <sz val="10"/>
            <color rgb="FF000000"/>
            <rFont val="Tahoma"/>
            <family val="2"/>
          </rPr>
          <t xml:space="preserve">
</t>
        </r>
        <r>
          <rPr>
            <sz val="10"/>
            <color rgb="FF000000"/>
            <rFont val="Tahoma"/>
            <family val="2"/>
          </rPr>
          <t>∆Cq of the sample subtracted by the average ∆cq of the control group. This is done per gene for each individual sample.</t>
        </r>
      </text>
    </comment>
    <comment ref="K44" authorId="0" shapeId="0" xr:uid="{19E1E792-F938-5442-8440-A206CB05B426}">
      <text>
        <r>
          <rPr>
            <b/>
            <sz val="10"/>
            <color rgb="FF000000"/>
            <rFont val="Tahoma"/>
            <family val="2"/>
          </rPr>
          <t>Noor Abdelwahab:</t>
        </r>
        <r>
          <rPr>
            <sz val="10"/>
            <color rgb="FF000000"/>
            <rFont val="Tahoma"/>
            <family val="2"/>
          </rPr>
          <t xml:space="preserve">
</t>
        </r>
        <r>
          <rPr>
            <sz val="10"/>
            <color rgb="FF000000"/>
            <rFont val="Tahoma"/>
            <family val="2"/>
          </rPr>
          <t>This is what will give you the fold change (its the number we want, you'll make a bar graph with this later)</t>
        </r>
      </text>
    </comment>
    <comment ref="S44" authorId="0" shapeId="0" xr:uid="{C9E0F9E7-89E7-1945-8ED1-B25AE95FCC66}">
      <text>
        <r>
          <rPr>
            <b/>
            <sz val="10"/>
            <color rgb="FF000000"/>
            <rFont val="Tahoma"/>
            <family val="2"/>
          </rPr>
          <t>Noor Abdelwahab:</t>
        </r>
        <r>
          <rPr>
            <sz val="10"/>
            <color rgb="FF000000"/>
            <rFont val="Tahoma"/>
            <family val="2"/>
          </rPr>
          <t xml:space="preserve">
</t>
        </r>
        <r>
          <rPr>
            <sz val="10"/>
            <color rgb="FF000000"/>
            <rFont val="Aptos Narrow"/>
            <scheme val="minor"/>
          </rPr>
          <t>Average of the Cq values of the three technical replicates</t>
        </r>
        <r>
          <rPr>
            <sz val="10"/>
            <color rgb="FF000000"/>
            <rFont val="Aptos Narrow"/>
            <scheme val="minor"/>
          </rPr>
          <t xml:space="preserve">
</t>
        </r>
        <r>
          <rPr>
            <sz val="10"/>
            <color rgb="FF000000"/>
            <rFont val="Tahoma"/>
            <family val="2"/>
          </rPr>
          <t>(ex. HET1, HET1, HET1)</t>
        </r>
      </text>
    </comment>
    <comment ref="T44" authorId="0" shapeId="0" xr:uid="{92735FBF-04BE-7A4D-B6E0-115D8CF71D99}">
      <text>
        <r>
          <rPr>
            <b/>
            <sz val="10"/>
            <color rgb="FF000000"/>
            <rFont val="Tahoma"/>
            <family val="2"/>
          </rPr>
          <t>Noor Abdelwahab:</t>
        </r>
        <r>
          <rPr>
            <sz val="10"/>
            <color rgb="FF000000"/>
            <rFont val="Tahoma"/>
            <family val="2"/>
          </rPr>
          <t xml:space="preserve">
</t>
        </r>
        <r>
          <rPr>
            <sz val="10"/>
            <color rgb="FF000000"/>
            <rFont val="Aptos Narrow"/>
            <scheme val="minor"/>
          </rPr>
          <t>Cq of test gene - housekeeping gene (of the same sample; ex. cMET WT1 Avg Cq - GAPDH WT1 Avg Cq ...) This will not be done for the housekeeping genes so I blacked them out.</t>
        </r>
        <r>
          <rPr>
            <sz val="10"/>
            <color rgb="FF000000"/>
            <rFont val="Aptos Narrow"/>
            <scheme val="minor"/>
          </rPr>
          <t xml:space="preserve">
</t>
        </r>
      </text>
    </comment>
    <comment ref="U44" authorId="0" shapeId="0" xr:uid="{044136C1-559C-8649-9B32-5033C88F0990}">
      <text>
        <r>
          <rPr>
            <b/>
            <sz val="10"/>
            <color rgb="FF000000"/>
            <rFont val="Tahoma"/>
            <family val="2"/>
          </rPr>
          <t>Noor Abdelwahab:</t>
        </r>
        <r>
          <rPr>
            <sz val="10"/>
            <color rgb="FF000000"/>
            <rFont val="Tahoma"/>
            <family val="2"/>
          </rPr>
          <t xml:space="preserve">
</t>
        </r>
        <r>
          <rPr>
            <sz val="10"/>
            <color rgb="FF000000"/>
            <rFont val="Aptos Narrow"/>
            <scheme val="minor"/>
          </rPr>
          <t>∆Cq of the sample subtracted by the average ∆cq of the control group (Ex. you will take the ∆Cq from each het sample and subtract the avg ∆Cq calculated in the WT table. This is done per gene for each individual sample.</t>
        </r>
        <r>
          <rPr>
            <sz val="10"/>
            <color rgb="FF000000"/>
            <rFont val="Aptos Narrow"/>
            <scheme val="minor"/>
          </rPr>
          <t xml:space="preserve">
</t>
        </r>
      </text>
    </comment>
    <comment ref="V44" authorId="0" shapeId="0" xr:uid="{20ECE2F9-ADF2-0E44-AC4B-A34464B55670}">
      <text>
        <r>
          <rPr>
            <b/>
            <sz val="10"/>
            <color rgb="FF000000"/>
            <rFont val="Tahoma"/>
            <family val="2"/>
          </rPr>
          <t>Noor Abdelwahab:</t>
        </r>
        <r>
          <rPr>
            <sz val="10"/>
            <color rgb="FF000000"/>
            <rFont val="Tahoma"/>
            <family val="2"/>
          </rPr>
          <t xml:space="preserve">
</t>
        </r>
        <r>
          <rPr>
            <sz val="10"/>
            <color rgb="FF000000"/>
            <rFont val="Aptos Narrow"/>
            <scheme val="minor"/>
          </rPr>
          <t>This is what will give you the fold change (its the number we want, you'll make a bar graph with this later)</t>
        </r>
        <r>
          <rPr>
            <sz val="10"/>
            <color rgb="FF000000"/>
            <rFont val="Aptos Narrow"/>
            <scheme val="minor"/>
          </rPr>
          <t xml:space="preserve">
</t>
        </r>
      </text>
    </comment>
    <comment ref="AD44" authorId="0" shapeId="0" xr:uid="{B586943C-87D4-364F-8040-93F34B4D3581}">
      <text>
        <r>
          <rPr>
            <b/>
            <sz val="10"/>
            <color rgb="FF000000"/>
            <rFont val="Tahoma"/>
            <family val="2"/>
          </rPr>
          <t>Noor Abdelwahab:</t>
        </r>
        <r>
          <rPr>
            <sz val="10"/>
            <color rgb="FF000000"/>
            <rFont val="Tahoma"/>
            <family val="2"/>
          </rPr>
          <t xml:space="preserve">
</t>
        </r>
        <r>
          <rPr>
            <sz val="10"/>
            <color rgb="FF000000"/>
            <rFont val="Aptos Narrow"/>
            <scheme val="minor"/>
          </rPr>
          <t>Average of the Cq values of the three technical replicates</t>
        </r>
        <r>
          <rPr>
            <sz val="10"/>
            <color rgb="FF000000"/>
            <rFont val="Aptos Narrow"/>
            <scheme val="minor"/>
          </rPr>
          <t xml:space="preserve">
</t>
        </r>
        <r>
          <rPr>
            <sz val="10"/>
            <color rgb="FF000000"/>
            <rFont val="Tahoma"/>
            <family val="2"/>
          </rPr>
          <t>(ex. HET1, HET1, HET1)</t>
        </r>
      </text>
    </comment>
    <comment ref="AE44" authorId="0" shapeId="0" xr:uid="{DB9747CB-F3A2-9348-8F6E-7B0CB1AF53BF}">
      <text>
        <r>
          <rPr>
            <b/>
            <sz val="10"/>
            <color rgb="FF000000"/>
            <rFont val="Tahoma"/>
            <family val="2"/>
          </rPr>
          <t>Noor Abdelwahab:</t>
        </r>
        <r>
          <rPr>
            <sz val="10"/>
            <color rgb="FF000000"/>
            <rFont val="Tahoma"/>
            <family val="2"/>
          </rPr>
          <t xml:space="preserve">
</t>
        </r>
        <r>
          <rPr>
            <sz val="10"/>
            <color rgb="FF000000"/>
            <rFont val="Aptos Narrow"/>
            <scheme val="minor"/>
          </rPr>
          <t>Cq of test gene - housekeeping gene (of the same sample; ex. cMET WT1 Avg Cq - GAPDH WT1 Avg Cq ...) This will not be done for the housekeeping genes so I blacked them out.</t>
        </r>
        <r>
          <rPr>
            <sz val="10"/>
            <color rgb="FF000000"/>
            <rFont val="Aptos Narrow"/>
            <scheme val="minor"/>
          </rPr>
          <t xml:space="preserve">
</t>
        </r>
      </text>
    </comment>
    <comment ref="AF44" authorId="0" shapeId="0" xr:uid="{C13EA53B-70FA-8846-9B5B-94ACA55AE3CE}">
      <text>
        <r>
          <rPr>
            <b/>
            <sz val="10"/>
            <color rgb="FF000000"/>
            <rFont val="Tahoma"/>
            <family val="2"/>
          </rPr>
          <t>Noor Abdelwahab:</t>
        </r>
        <r>
          <rPr>
            <sz val="10"/>
            <color rgb="FF000000"/>
            <rFont val="Tahoma"/>
            <family val="2"/>
          </rPr>
          <t xml:space="preserve">
</t>
        </r>
        <r>
          <rPr>
            <sz val="10"/>
            <color rgb="FF000000"/>
            <rFont val="Aptos Narrow"/>
            <scheme val="minor"/>
          </rPr>
          <t>∆Cq of the sample subtracted by the average ∆cq of the control group (Ex. you will take the ∆Cq from each het sample and subtract the avg ∆Cq calculated in the WT table. This is done per gene for each individual sample.</t>
        </r>
        <r>
          <rPr>
            <sz val="10"/>
            <color rgb="FF000000"/>
            <rFont val="Aptos Narrow"/>
            <scheme val="minor"/>
          </rPr>
          <t xml:space="preserve">
</t>
        </r>
      </text>
    </comment>
    <comment ref="AG44" authorId="0" shapeId="0" xr:uid="{1F4C8703-8A1F-6F4E-84D7-8363ABBA3C45}">
      <text>
        <r>
          <rPr>
            <b/>
            <sz val="10"/>
            <color rgb="FF000000"/>
            <rFont val="Tahoma"/>
            <family val="2"/>
          </rPr>
          <t>Noor Abdelwahab:</t>
        </r>
        <r>
          <rPr>
            <sz val="10"/>
            <color rgb="FF000000"/>
            <rFont val="Tahoma"/>
            <family val="2"/>
          </rPr>
          <t xml:space="preserve">
</t>
        </r>
        <r>
          <rPr>
            <sz val="10"/>
            <color rgb="FF000000"/>
            <rFont val="Aptos Narrow"/>
            <scheme val="minor"/>
          </rPr>
          <t>This is what will give you the fold change (its the number we want, you'll make a bar graph with this later)</t>
        </r>
        <r>
          <rPr>
            <sz val="10"/>
            <color rgb="FF000000"/>
            <rFont val="Aptos Narrow"/>
            <scheme val="minor"/>
          </rPr>
          <t xml:space="preserve">
</t>
        </r>
      </text>
    </comment>
    <comment ref="AO44" authorId="0" shapeId="0" xr:uid="{D2A71E19-7497-0848-AF44-45E166FFCA93}">
      <text>
        <r>
          <rPr>
            <b/>
            <sz val="10"/>
            <color rgb="FF000000"/>
            <rFont val="Tahoma"/>
            <family val="2"/>
          </rPr>
          <t>Noor Abdelwahab:</t>
        </r>
        <r>
          <rPr>
            <sz val="10"/>
            <color rgb="FF000000"/>
            <rFont val="Tahoma"/>
            <family val="2"/>
          </rPr>
          <t xml:space="preserve">
</t>
        </r>
        <r>
          <rPr>
            <sz val="10"/>
            <color rgb="FF000000"/>
            <rFont val="Aptos Narrow"/>
            <scheme val="minor"/>
          </rPr>
          <t>Average of the Cq values of the three technical replicates</t>
        </r>
        <r>
          <rPr>
            <sz val="10"/>
            <color rgb="FF000000"/>
            <rFont val="Aptos Narrow"/>
            <scheme val="minor"/>
          </rPr>
          <t xml:space="preserve">
</t>
        </r>
        <r>
          <rPr>
            <sz val="10"/>
            <color rgb="FF000000"/>
            <rFont val="Tahoma"/>
            <family val="2"/>
          </rPr>
          <t>(ex. HET1, HET1, HET1)</t>
        </r>
      </text>
    </comment>
    <comment ref="AP44" authorId="0" shapeId="0" xr:uid="{D1672960-17D7-E64D-89E4-C56F8B39B984}">
      <text>
        <r>
          <rPr>
            <b/>
            <sz val="10"/>
            <color rgb="FF000000"/>
            <rFont val="Tahoma"/>
            <family val="2"/>
          </rPr>
          <t>Noor Abdelwahab:</t>
        </r>
        <r>
          <rPr>
            <sz val="10"/>
            <color rgb="FF000000"/>
            <rFont val="Tahoma"/>
            <family val="2"/>
          </rPr>
          <t xml:space="preserve">
</t>
        </r>
        <r>
          <rPr>
            <sz val="10"/>
            <color rgb="FF000000"/>
            <rFont val="Aptos Narrow"/>
            <scheme val="minor"/>
          </rPr>
          <t>Cq of test gene - housekeeping gene (of the same sample; ex. cMET WT1 Avg Cq - GAPDH WT1 Avg Cq ...) This will not be done for the housekeeping genes so I blacked them out.</t>
        </r>
        <r>
          <rPr>
            <sz val="10"/>
            <color rgb="FF000000"/>
            <rFont val="Aptos Narrow"/>
            <scheme val="minor"/>
          </rPr>
          <t xml:space="preserve">
</t>
        </r>
      </text>
    </comment>
    <comment ref="AQ44" authorId="0" shapeId="0" xr:uid="{6D7F3941-EE3B-E94E-A6F4-B7CED901610F}">
      <text>
        <r>
          <rPr>
            <b/>
            <sz val="10"/>
            <color rgb="FF000000"/>
            <rFont val="Tahoma"/>
            <family val="2"/>
          </rPr>
          <t>Noor Abdelwahab:</t>
        </r>
        <r>
          <rPr>
            <sz val="10"/>
            <color rgb="FF000000"/>
            <rFont val="Tahoma"/>
            <family val="2"/>
          </rPr>
          <t xml:space="preserve">
</t>
        </r>
        <r>
          <rPr>
            <sz val="10"/>
            <color rgb="FF000000"/>
            <rFont val="Aptos Narrow"/>
            <scheme val="minor"/>
          </rPr>
          <t>∆Cq of the sample subtracted by the average ∆cq of the control group (Ex. you will take the ∆Cq from each het sample and subtract the avg ∆Cq calculated in the WT table. This is done per gene for each individual sample.</t>
        </r>
        <r>
          <rPr>
            <sz val="10"/>
            <color rgb="FF000000"/>
            <rFont val="Aptos Narrow"/>
            <scheme val="minor"/>
          </rPr>
          <t xml:space="preserve">
</t>
        </r>
      </text>
    </comment>
    <comment ref="AR44" authorId="0" shapeId="0" xr:uid="{20E14498-AC1B-E34F-A6A1-B505B0670F07}">
      <text>
        <r>
          <rPr>
            <b/>
            <sz val="10"/>
            <color rgb="FF000000"/>
            <rFont val="Tahoma"/>
            <family val="2"/>
          </rPr>
          <t>Noor Abdelwahab:</t>
        </r>
        <r>
          <rPr>
            <sz val="10"/>
            <color rgb="FF000000"/>
            <rFont val="Tahoma"/>
            <family val="2"/>
          </rPr>
          <t xml:space="preserve">
</t>
        </r>
        <r>
          <rPr>
            <sz val="10"/>
            <color rgb="FF000000"/>
            <rFont val="Aptos Narrow"/>
            <scheme val="minor"/>
          </rPr>
          <t>This is what will give you the fold change (its the number we want, you'll make a bar graph with this later)</t>
        </r>
        <r>
          <rPr>
            <sz val="10"/>
            <color rgb="FF000000"/>
            <rFont val="Aptos Narrow"/>
            <scheme val="minor"/>
          </rPr>
          <t xml:space="preserve">
</t>
        </r>
      </text>
    </comment>
    <comment ref="AZ44" authorId="0" shapeId="0" xr:uid="{1A122CF2-4069-764A-B8CB-6084C9EF0001}">
      <text>
        <r>
          <rPr>
            <b/>
            <sz val="10"/>
            <color rgb="FF000000"/>
            <rFont val="Tahoma"/>
            <family val="2"/>
          </rPr>
          <t>Noor Abdelwahab:</t>
        </r>
        <r>
          <rPr>
            <sz val="10"/>
            <color rgb="FF000000"/>
            <rFont val="Tahoma"/>
            <family val="2"/>
          </rPr>
          <t xml:space="preserve">
</t>
        </r>
        <r>
          <rPr>
            <sz val="10"/>
            <color rgb="FF000000"/>
            <rFont val="Aptos Narrow"/>
            <scheme val="minor"/>
          </rPr>
          <t>Average of the Cq values of the three technical replicates</t>
        </r>
        <r>
          <rPr>
            <sz val="10"/>
            <color rgb="FF000000"/>
            <rFont val="Aptos Narrow"/>
            <scheme val="minor"/>
          </rPr>
          <t xml:space="preserve">
</t>
        </r>
        <r>
          <rPr>
            <sz val="10"/>
            <color rgb="FF000000"/>
            <rFont val="Tahoma"/>
            <family val="2"/>
          </rPr>
          <t>(ex. HET1, HET1, HET1)</t>
        </r>
      </text>
    </comment>
    <comment ref="BA44" authorId="0" shapeId="0" xr:uid="{C7115D5B-0AFB-EB45-8BB1-7F12D2C2BC12}">
      <text>
        <r>
          <rPr>
            <b/>
            <sz val="10"/>
            <color rgb="FF000000"/>
            <rFont val="Tahoma"/>
            <family val="2"/>
          </rPr>
          <t>Noor Abdelwahab:</t>
        </r>
        <r>
          <rPr>
            <sz val="10"/>
            <color rgb="FF000000"/>
            <rFont val="Tahoma"/>
            <family val="2"/>
          </rPr>
          <t xml:space="preserve">
</t>
        </r>
        <r>
          <rPr>
            <sz val="10"/>
            <color rgb="FF000000"/>
            <rFont val="Aptos Narrow"/>
            <scheme val="minor"/>
          </rPr>
          <t>Cq of test gene - housekeeping gene (of the same sample; ex. cMET WT1 Avg Cq - GAPDH WT1 Avg Cq ...) This will not be done for the housekeeping genes so I blacked them out.</t>
        </r>
        <r>
          <rPr>
            <sz val="10"/>
            <color rgb="FF000000"/>
            <rFont val="Aptos Narrow"/>
            <scheme val="minor"/>
          </rPr>
          <t xml:space="preserve">
</t>
        </r>
      </text>
    </comment>
    <comment ref="BB44" authorId="0" shapeId="0" xr:uid="{F1750C31-9B66-2546-8CFB-42A0BC0C4EDE}">
      <text>
        <r>
          <rPr>
            <b/>
            <sz val="10"/>
            <color rgb="FF000000"/>
            <rFont val="Tahoma"/>
            <family val="2"/>
          </rPr>
          <t>Noor Abdelwahab:</t>
        </r>
        <r>
          <rPr>
            <sz val="10"/>
            <color rgb="FF000000"/>
            <rFont val="Tahoma"/>
            <family val="2"/>
          </rPr>
          <t xml:space="preserve">
</t>
        </r>
        <r>
          <rPr>
            <sz val="10"/>
            <color rgb="FF000000"/>
            <rFont val="Aptos Narrow"/>
            <scheme val="minor"/>
          </rPr>
          <t>∆Cq of the sample subtracted by the average ∆cq of the control group (Ex. you will take the ∆Cq from each het sample and subtract the avg ∆Cq calculated in the WT table. This is done per gene for each individual sample.</t>
        </r>
        <r>
          <rPr>
            <sz val="10"/>
            <color rgb="FF000000"/>
            <rFont val="Aptos Narrow"/>
            <scheme val="minor"/>
          </rPr>
          <t xml:space="preserve">
</t>
        </r>
      </text>
    </comment>
    <comment ref="BC44" authorId="0" shapeId="0" xr:uid="{4CDC1AF2-385D-7048-BA25-5B93C3B0AF67}">
      <text>
        <r>
          <rPr>
            <b/>
            <sz val="10"/>
            <color rgb="FF000000"/>
            <rFont val="Tahoma"/>
            <family val="2"/>
          </rPr>
          <t>Noor Abdelwahab:</t>
        </r>
        <r>
          <rPr>
            <sz val="10"/>
            <color rgb="FF000000"/>
            <rFont val="Tahoma"/>
            <family val="2"/>
          </rPr>
          <t xml:space="preserve">
</t>
        </r>
        <r>
          <rPr>
            <sz val="10"/>
            <color rgb="FF000000"/>
            <rFont val="Aptos Narrow"/>
            <scheme val="minor"/>
          </rPr>
          <t>This is what will give you the fold change (its the number we want, you'll make a bar graph with this later)</t>
        </r>
        <r>
          <rPr>
            <sz val="10"/>
            <color rgb="FF000000"/>
            <rFont val="Aptos Narrow"/>
            <scheme val="minor"/>
          </rPr>
          <t xml:space="preserve">
</t>
        </r>
      </text>
    </comment>
    <comment ref="BK44" authorId="0" shapeId="0" xr:uid="{ADCDD004-D463-A248-8164-A516DFA10FA4}">
      <text>
        <r>
          <rPr>
            <b/>
            <sz val="10"/>
            <color rgb="FF000000"/>
            <rFont val="Tahoma"/>
            <family val="2"/>
          </rPr>
          <t>Noor Abdelwahab:</t>
        </r>
        <r>
          <rPr>
            <sz val="10"/>
            <color rgb="FF000000"/>
            <rFont val="Tahoma"/>
            <family val="2"/>
          </rPr>
          <t xml:space="preserve">
</t>
        </r>
        <r>
          <rPr>
            <sz val="10"/>
            <color rgb="FF000000"/>
            <rFont val="Aptos Narrow"/>
            <scheme val="minor"/>
          </rPr>
          <t>Average of the Cq values of the three technical replicates</t>
        </r>
        <r>
          <rPr>
            <sz val="10"/>
            <color rgb="FF000000"/>
            <rFont val="Aptos Narrow"/>
            <scheme val="minor"/>
          </rPr>
          <t xml:space="preserve">
</t>
        </r>
        <r>
          <rPr>
            <sz val="10"/>
            <color rgb="FF000000"/>
            <rFont val="Tahoma"/>
            <family val="2"/>
          </rPr>
          <t>(ex. HET1, HET1, HET1)</t>
        </r>
      </text>
    </comment>
    <comment ref="BL44" authorId="0" shapeId="0" xr:uid="{42883124-017C-E840-8D6D-9A1147415A0E}">
      <text>
        <r>
          <rPr>
            <b/>
            <sz val="10"/>
            <color rgb="FF000000"/>
            <rFont val="Tahoma"/>
            <family val="2"/>
          </rPr>
          <t>Noor Abdelwahab:</t>
        </r>
        <r>
          <rPr>
            <sz val="10"/>
            <color rgb="FF000000"/>
            <rFont val="Tahoma"/>
            <family val="2"/>
          </rPr>
          <t xml:space="preserve">
</t>
        </r>
        <r>
          <rPr>
            <sz val="10"/>
            <color rgb="FF000000"/>
            <rFont val="Aptos Narrow"/>
            <scheme val="minor"/>
          </rPr>
          <t>Cq of test gene - housekeeping gene (of the same sample; ex. cMET WT1 Avg Cq - GAPDH WT1 Avg Cq ...) This will not be done for the housekeeping genes so I blacked them out.</t>
        </r>
        <r>
          <rPr>
            <sz val="10"/>
            <color rgb="FF000000"/>
            <rFont val="Aptos Narrow"/>
            <scheme val="minor"/>
          </rPr>
          <t xml:space="preserve">
</t>
        </r>
      </text>
    </comment>
    <comment ref="BM44" authorId="0" shapeId="0" xr:uid="{EF6B6D43-FE81-5447-BAAA-D83D683B4D9F}">
      <text>
        <r>
          <rPr>
            <b/>
            <sz val="10"/>
            <color rgb="FF000000"/>
            <rFont val="Tahoma"/>
            <family val="2"/>
          </rPr>
          <t>Noor Abdelwahab:</t>
        </r>
        <r>
          <rPr>
            <sz val="10"/>
            <color rgb="FF000000"/>
            <rFont val="Tahoma"/>
            <family val="2"/>
          </rPr>
          <t xml:space="preserve">
</t>
        </r>
        <r>
          <rPr>
            <sz val="10"/>
            <color rgb="FF000000"/>
            <rFont val="Aptos Narrow"/>
            <scheme val="minor"/>
          </rPr>
          <t>∆Cq of the sample subtracted by the average ∆cq of the control group (Ex. you will take the ∆Cq from each het sample and subtract the avg ∆Cq calculated in the WT table. This is done per gene for each individual sample.</t>
        </r>
        <r>
          <rPr>
            <sz val="10"/>
            <color rgb="FF000000"/>
            <rFont val="Aptos Narrow"/>
            <scheme val="minor"/>
          </rPr>
          <t xml:space="preserve">
</t>
        </r>
      </text>
    </comment>
    <comment ref="BN44" authorId="0" shapeId="0" xr:uid="{3A9F4334-E77B-304C-BF2B-788CB689136E}">
      <text>
        <r>
          <rPr>
            <b/>
            <sz val="10"/>
            <color rgb="FF000000"/>
            <rFont val="Tahoma"/>
            <family val="2"/>
          </rPr>
          <t>Noor Abdelwahab:</t>
        </r>
        <r>
          <rPr>
            <sz val="10"/>
            <color rgb="FF000000"/>
            <rFont val="Tahoma"/>
            <family val="2"/>
          </rPr>
          <t xml:space="preserve">
</t>
        </r>
        <r>
          <rPr>
            <sz val="10"/>
            <color rgb="FF000000"/>
            <rFont val="Aptos Narrow"/>
            <scheme val="minor"/>
          </rPr>
          <t>This is what will give you the fold change (its the number we want, you'll make a bar graph with this later)</t>
        </r>
        <r>
          <rPr>
            <sz val="10"/>
            <color rgb="FF000000"/>
            <rFont val="Aptos Narrow"/>
            <scheme val="minor"/>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Noor Abdelwahab</author>
  </authors>
  <commentList>
    <comment ref="U28" authorId="0" shapeId="0" xr:uid="{D02E3733-5C6F-1942-B9BA-4B1D4E81114B}">
      <text>
        <r>
          <rPr>
            <b/>
            <sz val="10"/>
            <color rgb="FF000000"/>
            <rFont val="Tahoma"/>
            <family val="2"/>
          </rPr>
          <t>Noor Abdelwahab:</t>
        </r>
        <r>
          <rPr>
            <sz val="10"/>
            <color rgb="FF000000"/>
            <rFont val="Tahoma"/>
            <family val="2"/>
          </rPr>
          <t xml:space="preserve">
</t>
        </r>
        <r>
          <rPr>
            <sz val="10"/>
            <color rgb="FF000000"/>
            <rFont val="Tahoma"/>
            <family val="2"/>
          </rPr>
          <t>This table is to be able to show the individual biological samples as points.</t>
        </r>
      </text>
    </comment>
    <comment ref="W28" authorId="0" shapeId="0" xr:uid="{840E6110-846D-BE43-9069-131C1EFD478D}">
      <text>
        <r>
          <rPr>
            <b/>
            <sz val="10"/>
            <color rgb="FF000000"/>
            <rFont val="Tahoma"/>
            <family val="2"/>
          </rPr>
          <t>Noor Abdelwahab:</t>
        </r>
        <r>
          <rPr>
            <sz val="10"/>
            <color rgb="FF000000"/>
            <rFont val="Tahoma"/>
            <family val="2"/>
          </rPr>
          <t xml:space="preserve">
</t>
        </r>
        <r>
          <rPr>
            <sz val="10"/>
            <color rgb="FF000000"/>
            <rFont val="Tahoma"/>
            <family val="2"/>
          </rPr>
          <t>Only need to edit this column, the rest will autofill</t>
        </r>
      </text>
    </comment>
    <comment ref="U74" authorId="0" shapeId="0" xr:uid="{9B817E9C-4A8E-BF46-94FB-C7F701CF59BC}">
      <text>
        <r>
          <rPr>
            <b/>
            <sz val="10"/>
            <color rgb="FF000000"/>
            <rFont val="Tahoma"/>
            <family val="2"/>
          </rPr>
          <t>Noor Abdelwahab:</t>
        </r>
        <r>
          <rPr>
            <sz val="10"/>
            <color rgb="FF000000"/>
            <rFont val="Tahoma"/>
            <family val="2"/>
          </rPr>
          <t xml:space="preserve">
</t>
        </r>
        <r>
          <rPr>
            <sz val="10"/>
            <color rgb="FF000000"/>
            <rFont val="Tahoma"/>
            <family val="2"/>
          </rPr>
          <t>This table is to show the individual biological samples as points</t>
        </r>
      </text>
    </comment>
    <comment ref="V74" authorId="0" shapeId="0" xr:uid="{CF360C4E-7FA2-2D46-8A72-F4BFFC3FF7E0}">
      <text>
        <r>
          <rPr>
            <b/>
            <sz val="10"/>
            <color rgb="FF000000"/>
            <rFont val="Tahoma"/>
            <family val="2"/>
          </rPr>
          <t>Noor Abdelwahab:</t>
        </r>
        <r>
          <rPr>
            <sz val="10"/>
            <color rgb="FF000000"/>
            <rFont val="Tahoma"/>
            <family val="2"/>
          </rPr>
          <t xml:space="preserve">
</t>
        </r>
        <r>
          <rPr>
            <sz val="10"/>
            <color rgb="FF000000"/>
            <rFont val="Tahoma"/>
            <family val="2"/>
          </rPr>
          <t>Only need to edit this column, the others will autofill.</t>
        </r>
      </text>
    </comment>
  </commentList>
</comments>
</file>

<file path=xl/sharedStrings.xml><?xml version="1.0" encoding="utf-8"?>
<sst xmlns="http://schemas.openxmlformats.org/spreadsheetml/2006/main" count="1557" uniqueCount="46">
  <si>
    <t>Well Position</t>
  </si>
  <si>
    <t>Sample</t>
  </si>
  <si>
    <t>Target</t>
  </si>
  <si>
    <t>Cq</t>
  </si>
  <si>
    <t>Avg Cq</t>
  </si>
  <si>
    <t>∆Cq</t>
  </si>
  <si>
    <t>Avg ∆Cq</t>
  </si>
  <si>
    <t>∆∆Cq</t>
  </si>
  <si>
    <r>
      <t>2</t>
    </r>
    <r>
      <rPr>
        <b/>
        <vertAlign val="superscript"/>
        <sz val="11"/>
        <color rgb="FF000000"/>
        <rFont val="Aptos Narrow (Body)"/>
      </rPr>
      <t>-∆∆Cq</t>
    </r>
  </si>
  <si>
    <t>Housekeeping Gene</t>
  </si>
  <si>
    <t>Gene 1</t>
  </si>
  <si>
    <t>Gene 2</t>
  </si>
  <si>
    <t>Gene 3</t>
  </si>
  <si>
    <t>Undetermined</t>
  </si>
  <si>
    <t>Gene 4</t>
  </si>
  <si>
    <t>Gene 5</t>
  </si>
  <si>
    <t>Colours to use:</t>
  </si>
  <si>
    <t>Exported info</t>
  </si>
  <si>
    <t>Exported Alt</t>
  </si>
  <si>
    <t xml:space="preserve">Housekeeping Gene </t>
  </si>
  <si>
    <r>
      <t>Avg. 2</t>
    </r>
    <r>
      <rPr>
        <b/>
        <vertAlign val="superscript"/>
        <sz val="11"/>
        <color rgb="FF000000"/>
        <rFont val="Aptos Narrow (Body)"/>
      </rPr>
      <t>-∆∆Cq</t>
    </r>
  </si>
  <si>
    <r>
      <t>Std. Dev 2</t>
    </r>
    <r>
      <rPr>
        <b/>
        <vertAlign val="superscript"/>
        <sz val="11"/>
        <color rgb="FF000000"/>
        <rFont val="Aptos Narrow (Body)"/>
      </rPr>
      <t>-∆∆Cq</t>
    </r>
  </si>
  <si>
    <r>
      <t>Avg. 2</t>
    </r>
    <r>
      <rPr>
        <b/>
        <vertAlign val="superscript"/>
        <sz val="11"/>
        <color theme="0"/>
        <rFont val="Aptos Narrow (Body)"/>
      </rPr>
      <t>-∆∆Cq</t>
    </r>
  </si>
  <si>
    <r>
      <t>Std. Dev 2</t>
    </r>
    <r>
      <rPr>
        <b/>
        <vertAlign val="superscript"/>
        <sz val="11"/>
        <color theme="0"/>
        <rFont val="Aptos Narrow (Body)"/>
      </rPr>
      <t>-∆∆Cq</t>
    </r>
  </si>
  <si>
    <r>
      <t>Avg. 2</t>
    </r>
    <r>
      <rPr>
        <b/>
        <vertAlign val="superscript"/>
        <sz val="11"/>
        <color theme="1"/>
        <rFont val="Aptos Narrow (Body)"/>
      </rPr>
      <t>-∆∆Cq</t>
    </r>
  </si>
  <si>
    <r>
      <t>Std. Dev 2</t>
    </r>
    <r>
      <rPr>
        <b/>
        <vertAlign val="superscript"/>
        <sz val="11"/>
        <color theme="1"/>
        <rFont val="Aptos Narrow (Body)"/>
      </rPr>
      <t>-∆∆Cq</t>
    </r>
  </si>
  <si>
    <r>
      <t>2</t>
    </r>
    <r>
      <rPr>
        <b/>
        <vertAlign val="superscript"/>
        <sz val="11"/>
        <color theme="1"/>
        <rFont val="Aptos Narrow (Body)"/>
      </rPr>
      <t>-∆∆Cq</t>
    </r>
  </si>
  <si>
    <t>Individual Genes</t>
  </si>
  <si>
    <t>All Genes</t>
  </si>
  <si>
    <t>GAPDH</t>
  </si>
  <si>
    <t>nsP3</t>
  </si>
  <si>
    <t>GFP</t>
  </si>
  <si>
    <t>RIG1</t>
  </si>
  <si>
    <t>Rig1</t>
  </si>
  <si>
    <t>MDA5</t>
  </si>
  <si>
    <t>IFIT</t>
  </si>
  <si>
    <t>WT 24h</t>
  </si>
  <si>
    <t>Set 1 24h</t>
  </si>
  <si>
    <t>Set 2 24h</t>
  </si>
  <si>
    <t>Set 4 24h</t>
  </si>
  <si>
    <t>Set 5 24h</t>
  </si>
  <si>
    <t>GFP 24h</t>
  </si>
  <si>
    <t>WT 24 hours</t>
  </si>
  <si>
    <t>N/A</t>
  </si>
  <si>
    <t>2-∆∆Cq</t>
  </si>
  <si>
    <t>Set5 24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</si>
</sst>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Aptos Narrow"/>
      <family val="2"/>
      <scheme val="minor"/>
    </font>
    <font>
      <sz val="12"/>
      <color theme="1"/>
      <name val="Aptos Narrow"/>
      <family val="2"/>
      <scheme val="minor"/>
    </font>
    <font>
      <b/>
      <sz val="12"/>
      <color theme="1"/>
      <name val="Aptos Narrow"/>
      <family val="2"/>
      <scheme val="minor"/>
    </font>
    <font>
      <sz val="11"/>
      <color indexed="8"/>
      <name val="Aptos Narrow"/>
      <family val="2"/>
      <scheme val="minor"/>
    </font>
    <font>
      <b/>
      <sz val="11"/>
      <color indexed="8"/>
      <name val="Aptos Narrow"/>
      <scheme val="minor"/>
    </font>
    <font>
      <b/>
      <sz val="11"/>
      <name val="Calibri"/>
      <family val="2"/>
    </font>
    <font>
      <sz val="11"/>
      <name val="Calibri"/>
      <family val="2"/>
    </font>
    <font>
      <strike/>
      <sz val="11"/>
      <name val="Calibri"/>
      <family val="2"/>
    </font>
    <font>
      <b/>
      <sz val="11"/>
      <color indexed="8"/>
      <name val="Aptos Narrow"/>
      <family val="2"/>
      <scheme val="minor"/>
    </font>
    <font>
      <b/>
      <vertAlign val="superscript"/>
      <sz val="11"/>
      <color rgb="FF000000"/>
      <name val="Aptos Narrow (Body)"/>
    </font>
    <font>
      <sz val="11"/>
      <color theme="0"/>
      <name val="Aptos Narrow"/>
      <family val="2"/>
      <scheme val="minor"/>
    </font>
    <font>
      <b/>
      <sz val="11"/>
      <color theme="1"/>
      <name val="Aptos Narrow"/>
      <scheme val="minor"/>
    </font>
    <font>
      <b/>
      <sz val="11"/>
      <color rgb="FF000000"/>
      <name val="Aptos Narrow"/>
      <family val="2"/>
      <scheme val="minor"/>
    </font>
    <font>
      <sz val="10"/>
      <color rgb="FF000000"/>
      <name val="Tahoma"/>
      <family val="2"/>
    </font>
    <font>
      <b/>
      <sz val="10"/>
      <color rgb="FF000000"/>
      <name val="Tahoma"/>
      <family val="2"/>
    </font>
    <font>
      <sz val="10"/>
      <color rgb="FF000000"/>
      <name val="Aptos Narrow"/>
      <scheme val="minor"/>
    </font>
    <font>
      <u/>
      <sz val="12"/>
      <color theme="10"/>
      <name val="Aptos Narrow"/>
      <family val="2"/>
      <scheme val="minor"/>
    </font>
    <font>
      <b/>
      <u/>
      <sz val="12"/>
      <color theme="10"/>
      <name val="Aptos Narrow"/>
      <scheme val="minor"/>
    </font>
    <font>
      <b/>
      <sz val="12"/>
      <color theme="1"/>
      <name val="Aptos Narrow"/>
      <scheme val="minor"/>
    </font>
    <font>
      <sz val="8"/>
      <name val="Aptos Narrow"/>
      <family val="2"/>
      <scheme val="minor"/>
    </font>
    <font>
      <b/>
      <sz val="12"/>
      <color theme="0"/>
      <name val="Aptos Narrow"/>
      <scheme val="minor"/>
    </font>
    <font>
      <b/>
      <sz val="11"/>
      <color theme="0"/>
      <name val="Aptos Narrow"/>
      <family val="2"/>
      <scheme val="minor"/>
    </font>
    <font>
      <b/>
      <vertAlign val="superscript"/>
      <sz val="11"/>
      <color theme="0"/>
      <name val="Aptos Narrow (Body)"/>
    </font>
    <font>
      <sz val="11"/>
      <color theme="1"/>
      <name val="Aptos Narrow"/>
      <family val="2"/>
      <scheme val="minor"/>
    </font>
    <font>
      <b/>
      <sz val="11"/>
      <color theme="1"/>
      <name val="Aptos Narrow"/>
      <family val="2"/>
      <scheme val="minor"/>
    </font>
    <font>
      <b/>
      <vertAlign val="superscript"/>
      <sz val="11"/>
      <color theme="1"/>
      <name val="Aptos Narrow (Body)"/>
    </font>
    <font>
      <b/>
      <sz val="14"/>
      <color theme="1"/>
      <name val="Aptos Narrow"/>
      <scheme val="minor"/>
    </font>
    <font>
      <sz val="11"/>
      <color theme="1"/>
      <name val="Calibri"/>
      <family val="2"/>
    </font>
    <font>
      <b/>
      <sz val="11"/>
      <color theme="1"/>
      <name val="Calibri"/>
      <family val="2"/>
    </font>
    <font>
      <sz val="11"/>
      <name val="Calibri"/>
    </font>
  </fonts>
  <fills count="62">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1"/>
        <bgColor indexed="64"/>
      </patternFill>
    </fill>
    <fill>
      <patternFill patternType="solid">
        <fgColor rgb="FFA6A6A6"/>
        <bgColor rgb="FF000000"/>
      </patternFill>
    </fill>
    <fill>
      <patternFill patternType="solid">
        <fgColor theme="5" tint="0.79998168889431442"/>
        <bgColor indexed="64"/>
      </patternFill>
    </fill>
    <fill>
      <patternFill patternType="solid">
        <fgColor rgb="FFCE99F2"/>
        <bgColor indexed="64"/>
      </patternFill>
    </fill>
    <fill>
      <patternFill patternType="solid">
        <fgColor rgb="FFC987E9"/>
        <bgColor indexed="64"/>
      </patternFill>
    </fill>
    <fill>
      <patternFill patternType="solid">
        <fgColor rgb="FFD4ACFB"/>
        <bgColor indexed="64"/>
      </patternFill>
    </fill>
    <fill>
      <patternFill patternType="solid">
        <fgColor rgb="FFC374E0"/>
        <bgColor indexed="64"/>
      </patternFill>
    </fill>
    <fill>
      <patternFill patternType="solid">
        <fgColor rgb="FFBE62D7"/>
        <bgColor indexed="64"/>
      </patternFill>
    </fill>
    <fill>
      <patternFill patternType="solid">
        <fgColor rgb="FFB84FCE"/>
        <bgColor indexed="64"/>
      </patternFill>
    </fill>
    <fill>
      <patternFill patternType="solid">
        <fgColor rgb="FFACDAFA"/>
        <bgColor indexed="64"/>
      </patternFill>
    </fill>
    <fill>
      <patternFill patternType="solid">
        <fgColor rgb="FF99C6F1"/>
        <bgColor indexed="64"/>
      </patternFill>
    </fill>
    <fill>
      <patternFill patternType="solid">
        <fgColor rgb="FF86B2E9"/>
        <bgColor indexed="64"/>
      </patternFill>
    </fill>
    <fill>
      <patternFill patternType="solid">
        <fgColor rgb="FF749DE0"/>
        <bgColor indexed="64"/>
      </patternFill>
    </fill>
    <fill>
      <patternFill patternType="solid">
        <fgColor rgb="FF6189D8"/>
        <bgColor indexed="64"/>
      </patternFill>
    </fill>
    <fill>
      <patternFill patternType="solid">
        <fgColor rgb="FF4E75CF"/>
        <bgColor indexed="64"/>
      </patternFill>
    </fill>
    <fill>
      <patternFill patternType="solid">
        <fgColor rgb="FFC5F7C6"/>
        <bgColor indexed="64"/>
      </patternFill>
    </fill>
    <fill>
      <patternFill patternType="solid">
        <fgColor rgb="FFAFE7B1"/>
        <bgColor indexed="64"/>
      </patternFill>
    </fill>
    <fill>
      <patternFill patternType="solid">
        <fgColor rgb="FF99D79D"/>
        <bgColor indexed="64"/>
      </patternFill>
    </fill>
    <fill>
      <patternFill patternType="solid">
        <fgColor rgb="FF84C788"/>
        <bgColor indexed="64"/>
      </patternFill>
    </fill>
    <fill>
      <patternFill patternType="solid">
        <fgColor rgb="FF6EB774"/>
        <bgColor indexed="64"/>
      </patternFill>
    </fill>
    <fill>
      <patternFill patternType="solid">
        <fgColor rgb="FF58A75F"/>
        <bgColor indexed="64"/>
      </patternFill>
    </fill>
    <fill>
      <patternFill patternType="solid">
        <fgColor rgb="FFF7D8C6"/>
        <bgColor indexed="64"/>
      </patternFill>
    </fill>
    <fill>
      <patternFill patternType="solid">
        <fgColor rgb="FFF8CFAC"/>
        <bgColor indexed="64"/>
      </patternFill>
    </fill>
    <fill>
      <patternFill patternType="solid">
        <fgColor rgb="FFF9C692"/>
        <bgColor indexed="64"/>
      </patternFill>
    </fill>
    <fill>
      <patternFill patternType="solid">
        <fgColor rgb="FFFABE77"/>
        <bgColor indexed="64"/>
      </patternFill>
    </fill>
    <fill>
      <patternFill patternType="solid">
        <fgColor rgb="FFFBB55D"/>
        <bgColor indexed="64"/>
      </patternFill>
    </fill>
    <fill>
      <patternFill patternType="solid">
        <fgColor rgb="FFFCAC43"/>
        <bgColor indexed="64"/>
      </patternFill>
    </fill>
    <fill>
      <patternFill patternType="solid">
        <fgColor rgb="FFF7F3C6"/>
        <bgColor indexed="64"/>
      </patternFill>
    </fill>
    <fill>
      <patternFill patternType="solid">
        <fgColor rgb="FFF9EBA0"/>
        <bgColor indexed="64"/>
      </patternFill>
    </fill>
    <fill>
      <patternFill patternType="solid">
        <fgColor rgb="FFFAE37B"/>
        <bgColor indexed="64"/>
      </patternFill>
    </fill>
    <fill>
      <patternFill patternType="solid">
        <fgColor rgb="FFFCDA55"/>
        <bgColor indexed="64"/>
      </patternFill>
    </fill>
    <fill>
      <patternFill patternType="solid">
        <fgColor rgb="FFFDD230"/>
        <bgColor indexed="64"/>
      </patternFill>
    </fill>
    <fill>
      <patternFill patternType="solid">
        <fgColor rgb="FFFFCA0A"/>
        <bgColor indexed="64"/>
      </patternFill>
    </fill>
    <fill>
      <patternFill patternType="solid">
        <fgColor rgb="FFFFD1EF"/>
        <bgColor indexed="64"/>
      </patternFill>
    </fill>
    <fill>
      <patternFill patternType="solid">
        <fgColor rgb="FFFFBDEB"/>
        <bgColor indexed="64"/>
      </patternFill>
    </fill>
    <fill>
      <patternFill patternType="solid">
        <fgColor rgb="FFFFA9E8"/>
        <bgColor indexed="64"/>
      </patternFill>
    </fill>
    <fill>
      <patternFill patternType="solid">
        <fgColor rgb="FFFF95E4"/>
        <bgColor indexed="64"/>
      </patternFill>
    </fill>
    <fill>
      <patternFill patternType="solid">
        <fgColor rgb="FFFF81E1"/>
        <bgColor indexed="64"/>
      </patternFill>
    </fill>
    <fill>
      <patternFill patternType="solid">
        <fgColor rgb="FFFF6DDD"/>
        <bgColor indexed="64"/>
      </patternFill>
    </fill>
    <fill>
      <patternFill patternType="solid">
        <fgColor rgb="FFEB6F6F"/>
        <bgColor indexed="64"/>
      </patternFill>
    </fill>
    <fill>
      <patternFill patternType="solid">
        <fgColor theme="2" tint="-9.9978637043366805E-2"/>
        <bgColor indexed="64"/>
      </patternFill>
    </fill>
    <fill>
      <patternFill patternType="solid">
        <fgColor rgb="FFE0ECF6"/>
        <bgColor indexed="64"/>
      </patternFill>
    </fill>
    <fill>
      <patternFill patternType="solid">
        <fgColor rgb="FFF2E2F7"/>
        <bgColor indexed="64"/>
      </patternFill>
    </fill>
    <fill>
      <patternFill patternType="solid">
        <fgColor rgb="FFF9F0E7"/>
        <bgColor indexed="64"/>
      </patternFill>
    </fill>
    <fill>
      <patternFill patternType="solid">
        <fgColor rgb="FFF8EAF8"/>
        <bgColor indexed="64"/>
      </patternFill>
    </fill>
    <fill>
      <patternFill patternType="solid">
        <fgColor rgb="FFFAFAEE"/>
        <bgColor indexed="64"/>
      </patternFill>
    </fill>
    <fill>
      <patternFill patternType="solid">
        <fgColor rgb="FFACDBFB"/>
        <bgColor indexed="64"/>
      </patternFill>
    </fill>
    <fill>
      <patternFill patternType="solid">
        <fgColor rgb="FFD5ACFC"/>
        <bgColor indexed="64"/>
      </patternFill>
    </fill>
    <fill>
      <patternFill patternType="solid">
        <fgColor rgb="FFF8D8C6"/>
        <bgColor indexed="64"/>
      </patternFill>
    </fill>
    <fill>
      <patternFill patternType="solid">
        <fgColor rgb="FFFFD2EF"/>
        <bgColor indexed="64"/>
      </patternFill>
    </fill>
    <fill>
      <patternFill patternType="solid">
        <fgColor rgb="FFF7F3C7"/>
        <bgColor indexed="64"/>
      </patternFill>
    </fill>
    <fill>
      <patternFill patternType="solid">
        <fgColor rgb="FFB0E7B2"/>
        <bgColor indexed="64"/>
      </patternFill>
    </fill>
    <fill>
      <patternFill patternType="solid">
        <fgColor rgb="FF59A75E"/>
        <bgColor indexed="64"/>
      </patternFill>
    </fill>
    <fill>
      <patternFill patternType="solid">
        <fgColor rgb="FF18853F"/>
        <bgColor indexed="64"/>
      </patternFill>
    </fill>
    <fill>
      <patternFill patternType="solid">
        <fgColor rgb="FFDAF2D0"/>
        <bgColor indexed="64"/>
      </patternFill>
    </fill>
  </fills>
  <borders count="112">
    <border>
      <left/>
      <right/>
      <top/>
      <bottom/>
      <diagonal/>
    </border>
    <border>
      <left style="medium">
        <color theme="1"/>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theme="1"/>
      </right>
      <top/>
      <bottom style="thin">
        <color theme="1" tint="0.499984740745262"/>
      </bottom>
      <diagonal/>
    </border>
    <border>
      <left style="medium">
        <color theme="1"/>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right>
      <top style="thin">
        <color theme="1" tint="0.499984740745262"/>
      </top>
      <bottom style="thin">
        <color theme="1" tint="0.499984740745262"/>
      </bottom>
      <diagonal/>
    </border>
    <border>
      <left style="medium">
        <color theme="1"/>
      </left>
      <right style="thin">
        <color theme="1" tint="0.499984740745262"/>
      </right>
      <top style="thin">
        <color theme="1" tint="0.499984740745262"/>
      </top>
      <bottom style="medium">
        <color theme="1"/>
      </bottom>
      <diagonal/>
    </border>
    <border>
      <left style="thin">
        <color theme="1" tint="0.499984740745262"/>
      </left>
      <right style="thin">
        <color theme="1" tint="0.499984740745262"/>
      </right>
      <top style="thin">
        <color theme="1" tint="0.499984740745262"/>
      </top>
      <bottom style="medium">
        <color theme="1"/>
      </bottom>
      <diagonal/>
    </border>
    <border>
      <left style="thin">
        <color theme="1" tint="0.499984740745262"/>
      </left>
      <right style="medium">
        <color theme="1"/>
      </right>
      <top style="thin">
        <color theme="1" tint="0.499984740745262"/>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thin">
        <color theme="1" tint="0.499984740745262"/>
      </bottom>
      <diagonal/>
    </border>
    <border>
      <left style="thin">
        <color theme="1" tint="0.499984740745262"/>
      </left>
      <right style="thin">
        <color theme="1" tint="0.499984740745262"/>
      </right>
      <top style="medium">
        <color theme="1"/>
      </top>
      <bottom style="thin">
        <color theme="1" tint="0.499984740745262"/>
      </bottom>
      <diagonal/>
    </border>
    <border>
      <left style="thin">
        <color theme="1" tint="0.499984740745262"/>
      </left>
      <right style="medium">
        <color theme="1"/>
      </right>
      <top style="medium">
        <color theme="1"/>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theme="1"/>
      </right>
      <top style="thin">
        <color theme="1" tint="0.499984740745262"/>
      </top>
      <bottom/>
      <diagonal/>
    </border>
    <border>
      <left style="medium">
        <color theme="1"/>
      </left>
      <right style="thin">
        <color theme="1" tint="0.499984740745262"/>
      </right>
      <top style="thin">
        <color theme="1" tint="0.499984740745262"/>
      </top>
      <bottom/>
      <diagonal/>
    </border>
    <border>
      <left style="medium">
        <color theme="1"/>
      </left>
      <right style="medium">
        <color theme="1"/>
      </right>
      <top/>
      <bottom/>
      <diagonal/>
    </border>
    <border>
      <left style="thin">
        <color theme="1" tint="0.499984740745262"/>
      </left>
      <right style="thin">
        <color theme="1" tint="0.499984740745262"/>
      </right>
      <top/>
      <bottom/>
      <diagonal/>
    </border>
    <border>
      <left style="thin">
        <color theme="1" tint="0.499984740745262"/>
      </left>
      <right style="medium">
        <color theme="1"/>
      </right>
      <top/>
      <bottom/>
      <diagonal/>
    </border>
    <border>
      <left style="medium">
        <color theme="1"/>
      </left>
      <right style="thin">
        <color theme="1" tint="0.499984740745262"/>
      </right>
      <top/>
      <bottom/>
      <diagonal/>
    </border>
    <border>
      <left style="thin">
        <color theme="1" tint="0.499984740745262"/>
      </left>
      <right style="thin">
        <color theme="1" tint="0.499984740745262"/>
      </right>
      <top/>
      <bottom style="medium">
        <color theme="1"/>
      </bottom>
      <diagonal/>
    </border>
    <border>
      <left style="thin">
        <color theme="1" tint="0.499984740745262"/>
      </left>
      <right style="medium">
        <color theme="1"/>
      </right>
      <top/>
      <bottom style="medium">
        <color theme="1"/>
      </bottom>
      <diagonal/>
    </border>
    <border>
      <left style="thin">
        <color theme="1" tint="0.499984740745262"/>
      </left>
      <right style="thin">
        <color theme="1" tint="0.499984740745262"/>
      </right>
      <top style="medium">
        <color theme="1"/>
      </top>
      <bottom/>
      <diagonal/>
    </border>
    <border>
      <left style="medium">
        <color theme="1"/>
      </left>
      <right style="thin">
        <color theme="1" tint="0.499984740745262"/>
      </right>
      <top style="medium">
        <color theme="1"/>
      </top>
      <bottom/>
      <diagonal/>
    </border>
    <border>
      <left style="medium">
        <color theme="1"/>
      </left>
      <right style="medium">
        <color theme="1"/>
      </right>
      <top/>
      <bottom style="medium">
        <color theme="1"/>
      </bottom>
      <diagonal/>
    </border>
    <border>
      <left style="medium">
        <color theme="1"/>
      </left>
      <right style="medium">
        <color theme="1"/>
      </right>
      <top style="medium">
        <color theme="1"/>
      </top>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medium">
        <color theme="1"/>
      </left>
      <right style="thin">
        <color theme="1" tint="0.499984740745262"/>
      </right>
      <top style="thin">
        <color theme="1" tint="0.499984740745262"/>
      </top>
      <bottom style="thin">
        <color theme="1"/>
      </bottom>
      <diagonal/>
    </border>
    <border>
      <left style="thin">
        <color theme="1" tint="0.499984740745262"/>
      </left>
      <right style="thin">
        <color theme="1" tint="0.499984740745262"/>
      </right>
      <top style="thin">
        <color theme="1" tint="0.499984740745262"/>
      </top>
      <bottom style="thin">
        <color theme="1"/>
      </bottom>
      <diagonal/>
    </border>
    <border>
      <left style="thin">
        <color theme="1" tint="0.499984740745262"/>
      </left>
      <right style="medium">
        <color theme="1"/>
      </right>
      <top style="thin">
        <color theme="1" tint="0.499984740745262"/>
      </top>
      <bottom style="thin">
        <color theme="1"/>
      </bottom>
      <diagonal/>
    </border>
    <border>
      <left style="medium">
        <color theme="1"/>
      </left>
      <right style="medium">
        <color theme="1"/>
      </right>
      <top/>
      <bottom style="thin">
        <color theme="1"/>
      </bottom>
      <diagonal/>
    </border>
    <border>
      <left style="thin">
        <color theme="1" tint="0.499984740745262"/>
      </left>
      <right style="thin">
        <color theme="1" tint="0.499984740745262"/>
      </right>
      <top/>
      <bottom style="thin">
        <color theme="1"/>
      </bottom>
      <diagonal/>
    </border>
    <border>
      <left style="thin">
        <color theme="1" tint="0.499984740745262"/>
      </left>
      <right style="medium">
        <color theme="1"/>
      </right>
      <top/>
      <bottom style="thin">
        <color theme="1"/>
      </bottom>
      <diagonal/>
    </border>
    <border>
      <left style="medium">
        <color theme="1"/>
      </left>
      <right style="medium">
        <color theme="1"/>
      </right>
      <top style="thin">
        <color theme="1"/>
      </top>
      <bottom style="thin">
        <color theme="1"/>
      </bottom>
      <diagonal/>
    </border>
    <border>
      <left style="medium">
        <color theme="1"/>
      </left>
      <right style="thin">
        <color theme="1" tint="0.499984740745262"/>
      </right>
      <top style="thin">
        <color theme="1"/>
      </top>
      <bottom style="thin">
        <color theme="1" tint="0.499984740745262"/>
      </bottom>
      <diagonal/>
    </border>
    <border>
      <left style="thin">
        <color theme="1" tint="0.499984740745262"/>
      </left>
      <right style="thin">
        <color theme="1" tint="0.499984740745262"/>
      </right>
      <top style="thin">
        <color theme="1"/>
      </top>
      <bottom style="thin">
        <color theme="1" tint="0.499984740745262"/>
      </bottom>
      <diagonal/>
    </border>
    <border>
      <left style="thin">
        <color theme="1" tint="0.499984740745262"/>
      </left>
      <right style="thin">
        <color theme="1" tint="0.499984740745262"/>
      </right>
      <top style="thin">
        <color theme="1"/>
      </top>
      <bottom/>
      <diagonal/>
    </border>
    <border>
      <left style="thin">
        <color theme="1" tint="0.499984740745262"/>
      </left>
      <right style="medium">
        <color theme="1"/>
      </right>
      <top style="thin">
        <color theme="1"/>
      </top>
      <bottom/>
      <diagonal/>
    </border>
    <border>
      <left style="medium">
        <color theme="1"/>
      </left>
      <right style="thin">
        <color theme="1" tint="0.499984740745262"/>
      </right>
      <top style="thin">
        <color theme="1"/>
      </top>
      <bottom/>
      <diagonal/>
    </border>
    <border>
      <left style="medium">
        <color theme="1"/>
      </left>
      <right style="medium">
        <color theme="1"/>
      </right>
      <top style="thin">
        <color theme="1"/>
      </top>
      <bottom style="medium">
        <color theme="1"/>
      </bottom>
      <diagonal/>
    </border>
    <border>
      <left style="medium">
        <color theme="1"/>
      </left>
      <right style="medium">
        <color theme="1"/>
      </right>
      <top style="medium">
        <color theme="1"/>
      </top>
      <bottom style="medium">
        <color theme="1"/>
      </bottom>
      <diagonal/>
    </border>
    <border>
      <left style="medium">
        <color theme="1"/>
      </left>
      <right style="thin">
        <color theme="1" tint="0.499984740745262"/>
      </right>
      <top style="medium">
        <color theme="1"/>
      </top>
      <bottom style="thin">
        <color theme="1" tint="0.499984740745262"/>
      </bottom>
      <diagonal/>
    </border>
    <border>
      <left style="thin">
        <color theme="1" tint="0.499984740745262"/>
      </left>
      <right style="medium">
        <color theme="1"/>
      </right>
      <top style="medium">
        <color theme="1"/>
      </top>
      <bottom/>
      <diagonal/>
    </border>
    <border>
      <left style="thin">
        <color theme="1" tint="0.499984740745262"/>
      </left>
      <right/>
      <top style="thin">
        <color theme="1" tint="0.499984740745262"/>
      </top>
      <bottom style="thin">
        <color theme="1"/>
      </bottom>
      <diagonal/>
    </border>
    <border>
      <left style="medium">
        <color theme="1"/>
      </left>
      <right/>
      <top style="thin">
        <color theme="1" tint="0.499984740745262"/>
      </top>
      <bottom/>
      <diagonal/>
    </border>
    <border>
      <left style="medium">
        <color theme="1"/>
      </left>
      <right/>
      <top/>
      <bottom/>
      <diagonal/>
    </border>
    <border>
      <left style="medium">
        <color theme="1"/>
      </left>
      <right/>
      <top/>
      <bottom style="thin">
        <color theme="1"/>
      </bottom>
      <diagonal/>
    </border>
    <border>
      <left style="medium">
        <color theme="1"/>
      </left>
      <right/>
      <top style="thin">
        <color theme="1"/>
      </top>
      <bottom/>
      <diagonal/>
    </border>
    <border>
      <left style="medium">
        <color theme="1"/>
      </left>
      <right/>
      <top/>
      <bottom style="medium">
        <color theme="1"/>
      </bottom>
      <diagonal/>
    </border>
    <border>
      <left style="medium">
        <color theme="1"/>
      </left>
      <right/>
      <top style="medium">
        <color theme="1"/>
      </top>
      <bottom/>
      <diagonal/>
    </border>
    <border>
      <left style="medium">
        <color theme="1"/>
      </left>
      <right/>
      <top/>
      <bottom style="thin">
        <color theme="1" tint="0.499984740745262"/>
      </bottom>
      <diagonal/>
    </border>
    <border>
      <left style="medium">
        <color theme="1"/>
      </left>
      <right/>
      <top style="medium">
        <color theme="1"/>
      </top>
      <bottom style="thin">
        <color theme="1" tint="0.499984740745262"/>
      </bottom>
      <diagonal/>
    </border>
    <border>
      <left style="thin">
        <color theme="1" tint="0.499984740745262"/>
      </left>
      <right style="thin">
        <color theme="1" tint="0.499984740745262"/>
      </right>
      <top style="thin">
        <color rgb="FF808080"/>
      </top>
      <bottom/>
      <diagonal/>
    </border>
    <border>
      <left style="medium">
        <color theme="1"/>
      </left>
      <right style="medium">
        <color theme="1"/>
      </right>
      <top style="medium">
        <color theme="1"/>
      </top>
      <bottom style="thin">
        <color theme="1"/>
      </bottom>
      <diagonal/>
    </border>
    <border>
      <left/>
      <right style="medium">
        <color theme="1"/>
      </right>
      <top/>
      <bottom/>
      <diagonal/>
    </border>
    <border>
      <left/>
      <right style="medium">
        <color theme="1"/>
      </right>
      <top style="medium">
        <color theme="1"/>
      </top>
      <bottom/>
      <diagonal/>
    </border>
    <border>
      <left style="medium">
        <color theme="1"/>
      </left>
      <right style="thin">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right/>
      <top/>
      <bottom style="medium">
        <color theme="1"/>
      </bottom>
      <diagonal/>
    </border>
    <border>
      <left/>
      <right/>
      <top style="medium">
        <color theme="1"/>
      </top>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thin">
        <color theme="1" tint="0.499984740745262"/>
      </left>
      <right/>
      <top style="medium">
        <color theme="1"/>
      </top>
      <bottom style="thin">
        <color theme="1" tint="0.499984740745262"/>
      </bottom>
      <diagonal/>
    </border>
    <border>
      <left/>
      <right/>
      <top style="medium">
        <color theme="1"/>
      </top>
      <bottom style="thin">
        <color theme="1" tint="0.499984740745262"/>
      </bottom>
      <diagonal/>
    </border>
    <border>
      <left style="thin">
        <color rgb="FF808080"/>
      </left>
      <right style="thin">
        <color rgb="FF808080"/>
      </right>
      <top style="medium">
        <color theme="1"/>
      </top>
      <bottom style="thin">
        <color rgb="FF808080"/>
      </bottom>
      <diagonal/>
    </border>
    <border>
      <left style="thin">
        <color theme="1" tint="0.499984740745262"/>
      </left>
      <right/>
      <top/>
      <bottom/>
      <diagonal/>
    </border>
    <border>
      <left/>
      <right style="medium">
        <color theme="1"/>
      </right>
      <top/>
      <bottom style="medium">
        <color theme="1"/>
      </bottom>
      <diagonal/>
    </border>
    <border>
      <left style="thin">
        <color theme="1" tint="0.499984740745262"/>
      </left>
      <right/>
      <top style="thin">
        <color theme="1" tint="0.499984740745262"/>
      </top>
      <bottom/>
      <diagonal/>
    </border>
    <border>
      <left style="thin">
        <color theme="1" tint="0.499984740745262"/>
      </left>
      <right/>
      <top style="thin">
        <color theme="1"/>
      </top>
      <bottom/>
      <diagonal/>
    </border>
    <border>
      <left style="thin">
        <color theme="1" tint="0.499984740745262"/>
      </left>
      <right/>
      <top/>
      <bottom style="medium">
        <color theme="1"/>
      </bottom>
      <diagonal/>
    </border>
    <border>
      <left style="thin">
        <color theme="1"/>
      </left>
      <right style="thin">
        <color theme="1"/>
      </right>
      <top/>
      <bottom style="thin">
        <color theme="1"/>
      </bottom>
      <diagonal/>
    </border>
    <border>
      <left style="medium">
        <color theme="1"/>
      </left>
      <right style="thin">
        <color theme="1" tint="0.499984740745262"/>
      </right>
      <top style="thin">
        <color theme="1"/>
      </top>
      <bottom style="medium">
        <color theme="1"/>
      </bottom>
      <diagonal/>
    </border>
    <border>
      <left style="thin">
        <color theme="1" tint="0.499984740745262"/>
      </left>
      <right/>
      <top style="medium">
        <color theme="1"/>
      </top>
      <bottom/>
      <diagonal/>
    </border>
    <border>
      <left style="medium">
        <color theme="1"/>
      </left>
      <right style="thin">
        <color theme="1"/>
      </right>
      <top/>
      <bottom style="thin">
        <color theme="1"/>
      </bottom>
      <diagonal/>
    </border>
    <border>
      <left style="thin">
        <color theme="1"/>
      </left>
      <right style="medium">
        <color theme="1"/>
      </right>
      <top/>
      <bottom style="thin">
        <color theme="1"/>
      </bottom>
      <diagonal/>
    </border>
    <border>
      <left/>
      <right style="thin">
        <color theme="1"/>
      </right>
      <top style="medium">
        <color theme="1"/>
      </top>
      <bottom style="medium">
        <color theme="1"/>
      </bottom>
      <diagonal/>
    </border>
    <border>
      <left/>
      <right style="thin">
        <color theme="1"/>
      </right>
      <top/>
      <bottom style="thin">
        <color theme="1"/>
      </bottom>
      <diagonal/>
    </border>
    <border>
      <left/>
      <right style="thin">
        <color theme="1"/>
      </right>
      <top style="thin">
        <color theme="1"/>
      </top>
      <bottom style="medium">
        <color theme="1"/>
      </bottom>
      <diagonal/>
    </border>
    <border>
      <left/>
      <right style="hair">
        <color theme="1"/>
      </right>
      <top/>
      <bottom/>
      <diagonal/>
    </border>
    <border>
      <left/>
      <right style="medium">
        <color theme="1"/>
      </right>
      <top style="hair">
        <color theme="1"/>
      </top>
      <bottom/>
      <diagonal/>
    </border>
    <border>
      <left/>
      <right style="hair">
        <color theme="1"/>
      </right>
      <top style="medium">
        <color theme="1"/>
      </top>
      <bottom/>
      <diagonal/>
    </border>
    <border>
      <left style="hair">
        <color theme="1"/>
      </left>
      <right/>
      <top/>
      <bottom style="hair">
        <color theme="1"/>
      </bottom>
      <diagonal/>
    </border>
    <border>
      <left/>
      <right/>
      <top/>
      <bottom style="hair">
        <color theme="1"/>
      </bottom>
      <diagonal/>
    </border>
    <border>
      <left/>
      <right style="hair">
        <color theme="1"/>
      </right>
      <top/>
      <bottom style="hair">
        <color theme="1"/>
      </bottom>
      <diagonal/>
    </border>
    <border>
      <left style="thin">
        <color theme="1"/>
      </left>
      <right/>
      <top style="medium">
        <color theme="1"/>
      </top>
      <bottom style="thin">
        <color theme="1"/>
      </bottom>
      <diagonal/>
    </border>
    <border>
      <left style="thin">
        <color theme="1"/>
      </left>
      <right/>
      <top style="thin">
        <color theme="1"/>
      </top>
      <bottom style="medium">
        <color theme="1"/>
      </bottom>
      <diagonal/>
    </border>
    <border>
      <left style="hair">
        <color theme="1"/>
      </left>
      <right/>
      <top style="medium">
        <color theme="1"/>
      </top>
      <bottom/>
      <diagonal/>
    </border>
    <border>
      <left style="hair">
        <color theme="1"/>
      </left>
      <right/>
      <top/>
      <bottom/>
      <diagonal/>
    </border>
    <border>
      <left style="hair">
        <color theme="1"/>
      </left>
      <right/>
      <top/>
      <bottom style="medium">
        <color theme="1"/>
      </bottom>
      <diagonal/>
    </border>
    <border>
      <left/>
      <right style="hair">
        <color theme="1"/>
      </right>
      <top/>
      <bottom style="medium">
        <color theme="1"/>
      </bottom>
      <diagonal/>
    </border>
    <border>
      <left style="medium">
        <color theme="1"/>
      </left>
      <right style="thin">
        <color theme="1"/>
      </right>
      <top style="medium">
        <color theme="1"/>
      </top>
      <bottom/>
      <diagonal/>
    </border>
    <border>
      <left style="thin">
        <color theme="1"/>
      </left>
      <right style="medium">
        <color theme="1"/>
      </right>
      <top style="medium">
        <color theme="1"/>
      </top>
      <bottom/>
      <diagonal/>
    </border>
    <border>
      <left style="medium">
        <color theme="1"/>
      </left>
      <right style="thin">
        <color theme="1"/>
      </right>
      <top style="thin">
        <color theme="1"/>
      </top>
      <bottom style="double">
        <color theme="1"/>
      </bottom>
      <diagonal/>
    </border>
    <border>
      <left style="thin">
        <color theme="1"/>
      </left>
      <right style="medium">
        <color theme="1"/>
      </right>
      <top style="thin">
        <color theme="1"/>
      </top>
      <bottom style="double">
        <color theme="1"/>
      </bottom>
      <diagonal/>
    </border>
    <border>
      <left style="medium">
        <color theme="1"/>
      </left>
      <right/>
      <top/>
      <bottom style="double">
        <color theme="1"/>
      </bottom>
      <diagonal/>
    </border>
    <border>
      <left style="medium">
        <color theme="1"/>
      </left>
      <right/>
      <top style="double">
        <color theme="1"/>
      </top>
      <bottom/>
      <diagonal/>
    </border>
    <border>
      <left style="thin">
        <color theme="1"/>
      </left>
      <right style="thin">
        <color theme="1"/>
      </right>
      <top style="thin">
        <color theme="1"/>
      </top>
      <bottom style="double">
        <color theme="1"/>
      </bottom>
      <diagonal/>
    </border>
    <border>
      <left style="medium">
        <color theme="1"/>
      </left>
      <right style="thin">
        <color theme="1" tint="0.499984740745262"/>
      </right>
      <top/>
      <bottom style="thin">
        <color theme="1"/>
      </bottom>
      <diagonal/>
    </border>
    <border>
      <left style="medium">
        <color theme="1"/>
      </left>
      <right style="thin">
        <color theme="1" tint="0.499984740745262"/>
      </right>
      <top/>
      <bottom style="medium">
        <color theme="1"/>
      </bottom>
      <diagonal/>
    </border>
  </borders>
  <cellStyleXfs count="3">
    <xf numFmtId="0" fontId="0" fillId="0" borderId="0"/>
    <xf numFmtId="0" fontId="3" fillId="0" borderId="0"/>
    <xf numFmtId="0" fontId="16" fillId="0" borderId="0" applyNumberFormat="0" applyFill="0" applyBorder="0" applyAlignment="0" applyProtection="0"/>
  </cellStyleXfs>
  <cellXfs count="1027">
    <xf numFmtId="0" fontId="0" fillId="0" borderId="0" xfId="0"/>
    <xf numFmtId="0" fontId="3" fillId="0" borderId="0" xfId="1" applyAlignment="1">
      <alignment horizontal="center" vertical="center"/>
    </xf>
    <xf numFmtId="0" fontId="5" fillId="0" borderId="1" xfId="1" applyFont="1" applyBorder="1" applyAlignment="1">
      <alignment horizontal="center" vertical="center"/>
    </xf>
    <xf numFmtId="0" fontId="5" fillId="0" borderId="2" xfId="1" applyFont="1" applyBorder="1" applyAlignment="1">
      <alignment horizontal="center" vertical="center"/>
    </xf>
    <xf numFmtId="0" fontId="5" fillId="0" borderId="3" xfId="1" applyFont="1" applyBorder="1" applyAlignment="1">
      <alignment horizontal="center" vertical="center"/>
    </xf>
    <xf numFmtId="0" fontId="5" fillId="3" borderId="1" xfId="1" applyFont="1" applyFill="1" applyBorder="1" applyAlignment="1">
      <alignment horizontal="center" vertical="center"/>
    </xf>
    <xf numFmtId="0" fontId="5" fillId="3" borderId="2" xfId="1" applyFont="1" applyFill="1" applyBorder="1" applyAlignment="1">
      <alignment horizontal="center" vertical="center"/>
    </xf>
    <xf numFmtId="0" fontId="5" fillId="3" borderId="3" xfId="1" applyFont="1" applyFill="1" applyBorder="1" applyAlignment="1">
      <alignment horizontal="center" vertical="center"/>
    </xf>
    <xf numFmtId="0" fontId="5" fillId="3" borderId="13" xfId="1" applyFont="1" applyFill="1" applyBorder="1" applyAlignment="1">
      <alignment horizontal="center" vertical="center"/>
    </xf>
    <xf numFmtId="0" fontId="8" fillId="4" borderId="14" xfId="1" applyFont="1" applyFill="1" applyBorder="1" applyAlignment="1">
      <alignment horizontal="center" vertical="center"/>
    </xf>
    <xf numFmtId="0" fontId="8" fillId="5" borderId="14" xfId="1" applyFont="1" applyFill="1" applyBorder="1" applyAlignment="1">
      <alignment horizontal="center" vertical="center"/>
    </xf>
    <xf numFmtId="0" fontId="8" fillId="6" borderId="15" xfId="1" applyFont="1" applyFill="1" applyBorder="1" applyAlignment="1">
      <alignment horizontal="center" vertical="center"/>
    </xf>
    <xf numFmtId="0" fontId="3" fillId="7" borderId="16" xfId="1" applyFill="1" applyBorder="1" applyAlignment="1">
      <alignment horizontal="center" vertical="center"/>
    </xf>
    <xf numFmtId="0" fontId="3" fillId="7" borderId="20" xfId="1" applyFill="1" applyBorder="1" applyAlignment="1">
      <alignment horizontal="center" vertical="center"/>
    </xf>
    <xf numFmtId="0" fontId="3" fillId="7" borderId="2" xfId="1" applyFill="1" applyBorder="1" applyAlignment="1">
      <alignment horizontal="center" vertical="center"/>
    </xf>
    <xf numFmtId="0" fontId="3" fillId="7" borderId="23" xfId="1" applyFill="1" applyBorder="1" applyAlignment="1">
      <alignment horizontal="center" vertical="center"/>
    </xf>
    <xf numFmtId="0" fontId="3" fillId="7" borderId="25" xfId="1" applyFill="1" applyBorder="1" applyAlignment="1">
      <alignment horizontal="center" vertical="center"/>
    </xf>
    <xf numFmtId="0" fontId="5" fillId="3" borderId="57" xfId="1" applyFont="1" applyFill="1" applyBorder="1" applyAlignment="1">
      <alignment horizontal="center" vertical="center"/>
    </xf>
    <xf numFmtId="0" fontId="12" fillId="8" borderId="14" xfId="0" applyFont="1" applyFill="1" applyBorder="1" applyAlignment="1">
      <alignment horizontal="center" vertical="center"/>
    </xf>
    <xf numFmtId="0" fontId="5" fillId="0" borderId="0" xfId="1" applyFont="1" applyAlignment="1">
      <alignment horizontal="center" vertical="center"/>
    </xf>
    <xf numFmtId="0" fontId="16" fillId="0" borderId="0" xfId="2" applyBorder="1" applyAlignment="1">
      <alignment horizontal="center" vertical="center"/>
    </xf>
    <xf numFmtId="0" fontId="6" fillId="0" borderId="4" xfId="1" applyFont="1" applyBorder="1" applyAlignment="1">
      <alignment horizontal="center" vertical="center"/>
    </xf>
    <xf numFmtId="0" fontId="6" fillId="0" borderId="5" xfId="1" applyFont="1" applyBorder="1" applyAlignment="1">
      <alignment horizontal="center" vertical="center"/>
    </xf>
    <xf numFmtId="0" fontId="6" fillId="0" borderId="6" xfId="1" applyFont="1" applyBorder="1" applyAlignment="1">
      <alignment horizontal="center" vertical="center"/>
    </xf>
    <xf numFmtId="0" fontId="7" fillId="0" borderId="4" xfId="1" applyFont="1" applyBorder="1" applyAlignment="1">
      <alignment horizontal="center" vertical="center"/>
    </xf>
    <xf numFmtId="0" fontId="7" fillId="0" borderId="5" xfId="1" applyFont="1" applyBorder="1" applyAlignment="1">
      <alignment horizontal="center" vertical="center"/>
    </xf>
    <xf numFmtId="0" fontId="7" fillId="0" borderId="6" xfId="1" applyFont="1" applyBorder="1" applyAlignment="1">
      <alignment horizontal="center" vertical="center"/>
    </xf>
    <xf numFmtId="0" fontId="6" fillId="0" borderId="7" xfId="1" applyFont="1" applyBorder="1" applyAlignment="1">
      <alignment horizontal="center" vertical="center"/>
    </xf>
    <xf numFmtId="0" fontId="6" fillId="0" borderId="8" xfId="1" applyFont="1" applyBorder="1" applyAlignment="1">
      <alignment horizontal="center" vertical="center"/>
    </xf>
    <xf numFmtId="0" fontId="6" fillId="0" borderId="9" xfId="1" applyFont="1" applyBorder="1" applyAlignment="1">
      <alignment horizontal="center" vertical="center"/>
    </xf>
    <xf numFmtId="0" fontId="3" fillId="14" borderId="31" xfId="1" applyFill="1" applyBorder="1" applyAlignment="1">
      <alignment horizontal="center" vertical="center"/>
    </xf>
    <xf numFmtId="0" fontId="3" fillId="15" borderId="73" xfId="1" applyFill="1" applyBorder="1" applyAlignment="1">
      <alignment horizontal="center" vertical="center"/>
    </xf>
    <xf numFmtId="0" fontId="3" fillId="20" borderId="31" xfId="1" applyFill="1" applyBorder="1" applyAlignment="1">
      <alignment horizontal="center" vertical="center"/>
    </xf>
    <xf numFmtId="0" fontId="3" fillId="21" borderId="73" xfId="1" applyFill="1" applyBorder="1" applyAlignment="1">
      <alignment horizontal="center" vertical="center"/>
    </xf>
    <xf numFmtId="0" fontId="3" fillId="32" borderId="31" xfId="1" applyFill="1" applyBorder="1" applyAlignment="1">
      <alignment horizontal="center" vertical="center"/>
    </xf>
    <xf numFmtId="0" fontId="3" fillId="33" borderId="73" xfId="1" applyFill="1" applyBorder="1" applyAlignment="1">
      <alignment horizontal="center" vertical="center"/>
    </xf>
    <xf numFmtId="0" fontId="3" fillId="34" borderId="71" xfId="1" applyFill="1" applyBorder="1" applyAlignment="1">
      <alignment horizontal="center" vertical="center"/>
    </xf>
    <xf numFmtId="0" fontId="3" fillId="35" borderId="71" xfId="1" applyFill="1" applyBorder="1" applyAlignment="1">
      <alignment horizontal="center" vertical="center"/>
    </xf>
    <xf numFmtId="0" fontId="3" fillId="36" borderId="71" xfId="1" applyFill="1" applyBorder="1" applyAlignment="1">
      <alignment horizontal="center" vertical="center"/>
    </xf>
    <xf numFmtId="0" fontId="3" fillId="37" borderId="71" xfId="1" applyFill="1" applyBorder="1" applyAlignment="1">
      <alignment horizontal="center" vertical="center"/>
    </xf>
    <xf numFmtId="0" fontId="3" fillId="38" borderId="71" xfId="1" applyFill="1" applyBorder="1" applyAlignment="1">
      <alignment horizontal="center" vertical="center"/>
    </xf>
    <xf numFmtId="0" fontId="3" fillId="39" borderId="74" xfId="1" applyFill="1" applyBorder="1" applyAlignment="1">
      <alignment horizontal="center" vertical="center"/>
    </xf>
    <xf numFmtId="0" fontId="3" fillId="40" borderId="31" xfId="1" applyFill="1" applyBorder="1" applyAlignment="1">
      <alignment horizontal="center" vertical="center"/>
    </xf>
    <xf numFmtId="0" fontId="3" fillId="41" borderId="31" xfId="1" applyFill="1" applyBorder="1" applyAlignment="1">
      <alignment horizontal="center" vertical="center"/>
    </xf>
    <xf numFmtId="0" fontId="3" fillId="42" borderId="31" xfId="1" applyFill="1" applyBorder="1" applyAlignment="1">
      <alignment horizontal="center" vertical="center"/>
    </xf>
    <xf numFmtId="0" fontId="3" fillId="43" borderId="31" xfId="1" applyFill="1" applyBorder="1" applyAlignment="1">
      <alignment horizontal="center" vertical="center"/>
    </xf>
    <xf numFmtId="0" fontId="3" fillId="44" borderId="31" xfId="1" applyFill="1" applyBorder="1" applyAlignment="1">
      <alignment horizontal="center" vertical="center"/>
    </xf>
    <xf numFmtId="0" fontId="3" fillId="45" borderId="73" xfId="1" applyFill="1" applyBorder="1" applyAlignment="1">
      <alignment horizontal="center" vertical="center"/>
    </xf>
    <xf numFmtId="0" fontId="3" fillId="21" borderId="31" xfId="1" applyFill="1" applyBorder="1" applyAlignment="1">
      <alignment horizontal="center" vertical="center"/>
    </xf>
    <xf numFmtId="0" fontId="3" fillId="15" borderId="31" xfId="1" applyFill="1" applyBorder="1" applyAlignment="1">
      <alignment horizontal="center" vertical="center"/>
    </xf>
    <xf numFmtId="0" fontId="3" fillId="33" borderId="31" xfId="1" applyFill="1" applyBorder="1" applyAlignment="1">
      <alignment horizontal="center" vertical="center"/>
    </xf>
    <xf numFmtId="0" fontId="3" fillId="45" borderId="31" xfId="1" applyFill="1" applyBorder="1" applyAlignment="1">
      <alignment horizontal="center" vertical="center"/>
    </xf>
    <xf numFmtId="0" fontId="3" fillId="39" borderId="31" xfId="1" applyFill="1" applyBorder="1" applyAlignment="1">
      <alignment horizontal="center" vertical="center"/>
    </xf>
    <xf numFmtId="0" fontId="3" fillId="39" borderId="71" xfId="1" applyFill="1" applyBorder="1" applyAlignment="1">
      <alignment horizontal="center" vertical="center"/>
    </xf>
    <xf numFmtId="0" fontId="6" fillId="16" borderId="4" xfId="1" applyFont="1" applyFill="1" applyBorder="1" applyAlignment="1">
      <alignment horizontal="center" vertical="center"/>
    </xf>
    <xf numFmtId="0" fontId="6" fillId="16" borderId="5" xfId="1" applyFont="1" applyFill="1" applyBorder="1" applyAlignment="1">
      <alignment horizontal="center" vertical="center"/>
    </xf>
    <xf numFmtId="0" fontId="6" fillId="16" borderId="6" xfId="1" applyFont="1" applyFill="1" applyBorder="1" applyAlignment="1">
      <alignment horizontal="center" vertical="center"/>
    </xf>
    <xf numFmtId="0" fontId="6" fillId="16" borderId="33" xfId="1" applyFont="1" applyFill="1" applyBorder="1" applyAlignment="1">
      <alignment horizontal="center" vertical="center"/>
    </xf>
    <xf numFmtId="0" fontId="6" fillId="16" borderId="34" xfId="1" applyFont="1" applyFill="1" applyBorder="1" applyAlignment="1">
      <alignment horizontal="center" vertical="center"/>
    </xf>
    <xf numFmtId="0" fontId="6" fillId="16" borderId="35" xfId="1" applyFont="1" applyFill="1" applyBorder="1" applyAlignment="1">
      <alignment horizontal="center" vertical="center"/>
    </xf>
    <xf numFmtId="0" fontId="6" fillId="16" borderId="40" xfId="1" applyFont="1" applyFill="1" applyBorder="1" applyAlignment="1">
      <alignment horizontal="center" vertical="center"/>
    </xf>
    <xf numFmtId="0" fontId="6" fillId="16" borderId="41" xfId="1" applyFont="1" applyFill="1" applyBorder="1" applyAlignment="1">
      <alignment horizontal="center" vertical="center"/>
    </xf>
    <xf numFmtId="0" fontId="6" fillId="16" borderId="7" xfId="1" applyFont="1" applyFill="1" applyBorder="1" applyAlignment="1">
      <alignment horizontal="center" vertical="center"/>
    </xf>
    <xf numFmtId="0" fontId="6" fillId="16" borderId="8" xfId="1" applyFont="1" applyFill="1" applyBorder="1" applyAlignment="1">
      <alignment horizontal="center" vertical="center"/>
    </xf>
    <xf numFmtId="0" fontId="6" fillId="16" borderId="9" xfId="1" applyFont="1" applyFill="1" applyBorder="1" applyAlignment="1">
      <alignment horizontal="center" vertical="center"/>
    </xf>
    <xf numFmtId="0" fontId="6" fillId="17" borderId="40" xfId="1" applyFont="1" applyFill="1" applyBorder="1" applyAlignment="1">
      <alignment horizontal="center" vertical="center"/>
    </xf>
    <xf numFmtId="0" fontId="6" fillId="17" borderId="41" xfId="1" applyFont="1" applyFill="1" applyBorder="1" applyAlignment="1">
      <alignment horizontal="center" vertical="center"/>
    </xf>
    <xf numFmtId="0" fontId="6" fillId="17" borderId="4" xfId="1" applyFont="1" applyFill="1" applyBorder="1" applyAlignment="1">
      <alignment horizontal="center" vertical="center"/>
    </xf>
    <xf numFmtId="0" fontId="6" fillId="17" borderId="5" xfId="1" applyFont="1" applyFill="1" applyBorder="1" applyAlignment="1">
      <alignment horizontal="center" vertical="center"/>
    </xf>
    <xf numFmtId="0" fontId="6" fillId="17" borderId="6" xfId="1" applyFont="1" applyFill="1" applyBorder="1" applyAlignment="1">
      <alignment horizontal="center" vertical="center"/>
    </xf>
    <xf numFmtId="0" fontId="6" fillId="17" borderId="33" xfId="1" applyFont="1" applyFill="1" applyBorder="1" applyAlignment="1">
      <alignment horizontal="center" vertical="center"/>
    </xf>
    <xf numFmtId="0" fontId="6" fillId="17" borderId="34" xfId="1" applyFont="1" applyFill="1" applyBorder="1" applyAlignment="1">
      <alignment horizontal="center" vertical="center"/>
    </xf>
    <xf numFmtId="0" fontId="6" fillId="17" borderId="35" xfId="1" applyFont="1" applyFill="1" applyBorder="1" applyAlignment="1">
      <alignment horizontal="center" vertical="center"/>
    </xf>
    <xf numFmtId="0" fontId="6" fillId="16" borderId="1" xfId="1" applyFont="1" applyFill="1" applyBorder="1" applyAlignment="1">
      <alignment horizontal="center" vertical="center"/>
    </xf>
    <xf numFmtId="0" fontId="6" fillId="16" borderId="2" xfId="1" applyFont="1" applyFill="1" applyBorder="1" applyAlignment="1">
      <alignment horizontal="center" vertical="center"/>
    </xf>
    <xf numFmtId="0" fontId="6" fillId="12" borderId="47" xfId="1" applyFont="1" applyFill="1" applyBorder="1" applyAlignment="1">
      <alignment horizontal="center" vertical="center"/>
    </xf>
    <xf numFmtId="0" fontId="6" fillId="12" borderId="14" xfId="1" applyFont="1" applyFill="1" applyBorder="1" applyAlignment="1">
      <alignment horizontal="center" vertical="center"/>
    </xf>
    <xf numFmtId="0" fontId="6" fillId="12" borderId="4" xfId="1" applyFont="1" applyFill="1" applyBorder="1" applyAlignment="1">
      <alignment horizontal="center" vertical="center"/>
    </xf>
    <xf numFmtId="0" fontId="6" fillId="12" borderId="5" xfId="1" applyFont="1" applyFill="1" applyBorder="1" applyAlignment="1">
      <alignment horizontal="center" vertical="center"/>
    </xf>
    <xf numFmtId="0" fontId="6" fillId="12" borderId="6" xfId="1" applyFont="1" applyFill="1" applyBorder="1" applyAlignment="1">
      <alignment horizontal="center" vertical="center"/>
    </xf>
    <xf numFmtId="0" fontId="6" fillId="12" borderId="33" xfId="1" applyFont="1" applyFill="1" applyBorder="1" applyAlignment="1">
      <alignment horizontal="center" vertical="center"/>
    </xf>
    <xf numFmtId="0" fontId="6" fillId="12" borderId="34" xfId="1" applyFont="1" applyFill="1" applyBorder="1" applyAlignment="1">
      <alignment horizontal="center" vertical="center"/>
    </xf>
    <xf numFmtId="0" fontId="6" fillId="12" borderId="35" xfId="1" applyFont="1" applyFill="1" applyBorder="1" applyAlignment="1">
      <alignment horizontal="center" vertical="center"/>
    </xf>
    <xf numFmtId="0" fontId="6" fillId="12" borderId="1" xfId="1" applyFont="1" applyFill="1" applyBorder="1" applyAlignment="1">
      <alignment horizontal="center" vertical="center"/>
    </xf>
    <xf numFmtId="0" fontId="6" fillId="12" borderId="2" xfId="1" applyFont="1" applyFill="1" applyBorder="1" applyAlignment="1">
      <alignment horizontal="center" vertical="center"/>
    </xf>
    <xf numFmtId="0" fontId="6" fillId="12" borderId="7" xfId="1" applyFont="1" applyFill="1" applyBorder="1" applyAlignment="1">
      <alignment horizontal="center" vertical="center"/>
    </xf>
    <xf numFmtId="0" fontId="6" fillId="12" borderId="8" xfId="1" applyFont="1" applyFill="1" applyBorder="1" applyAlignment="1">
      <alignment horizontal="center" vertical="center"/>
    </xf>
    <xf numFmtId="0" fontId="6" fillId="12" borderId="9" xfId="1" applyFont="1" applyFill="1" applyBorder="1" applyAlignment="1">
      <alignment horizontal="center" vertical="center"/>
    </xf>
    <xf numFmtId="0" fontId="6" fillId="12" borderId="29" xfId="1" applyFont="1" applyFill="1" applyBorder="1" applyAlignment="1">
      <alignment horizontal="center" vertical="center"/>
    </xf>
    <xf numFmtId="0" fontId="6" fillId="12" borderId="49" xfId="1" applyFont="1" applyFill="1" applyBorder="1" applyAlignment="1">
      <alignment horizontal="center" vertical="center"/>
    </xf>
    <xf numFmtId="0" fontId="6" fillId="12" borderId="30" xfId="1" applyFont="1" applyFill="1" applyBorder="1" applyAlignment="1">
      <alignment horizontal="center" vertical="center"/>
    </xf>
    <xf numFmtId="0" fontId="6" fillId="10" borderId="40" xfId="1" applyFont="1" applyFill="1" applyBorder="1" applyAlignment="1">
      <alignment horizontal="center" vertical="center"/>
    </xf>
    <xf numFmtId="0" fontId="6" fillId="10" borderId="41" xfId="1" applyFont="1" applyFill="1" applyBorder="1" applyAlignment="1">
      <alignment horizontal="center" vertical="center"/>
    </xf>
    <xf numFmtId="0" fontId="6" fillId="10" borderId="4" xfId="1" applyFont="1" applyFill="1" applyBorder="1" applyAlignment="1">
      <alignment horizontal="center" vertical="center"/>
    </xf>
    <xf numFmtId="0" fontId="6" fillId="10" borderId="5" xfId="1" applyFont="1" applyFill="1" applyBorder="1" applyAlignment="1">
      <alignment horizontal="center" vertical="center"/>
    </xf>
    <xf numFmtId="0" fontId="6" fillId="10" borderId="6" xfId="1" applyFont="1" applyFill="1" applyBorder="1" applyAlignment="1">
      <alignment horizontal="center" vertical="center"/>
    </xf>
    <xf numFmtId="0" fontId="6" fillId="10" borderId="33" xfId="1" applyFont="1" applyFill="1" applyBorder="1" applyAlignment="1">
      <alignment horizontal="center" vertical="center"/>
    </xf>
    <xf numFmtId="0" fontId="6" fillId="10" borderId="34" xfId="1" applyFont="1" applyFill="1" applyBorder="1" applyAlignment="1">
      <alignment horizontal="center" vertical="center"/>
    </xf>
    <xf numFmtId="0" fontId="6" fillId="10" borderId="35" xfId="1" applyFont="1" applyFill="1" applyBorder="1" applyAlignment="1">
      <alignment horizontal="center" vertical="center"/>
    </xf>
    <xf numFmtId="0" fontId="6" fillId="10" borderId="29" xfId="1" applyFont="1" applyFill="1" applyBorder="1" applyAlignment="1">
      <alignment horizontal="center" vertical="center"/>
    </xf>
    <xf numFmtId="0" fontId="6" fillId="10" borderId="49" xfId="1" applyFont="1" applyFill="1" applyBorder="1" applyAlignment="1">
      <alignment horizontal="center" vertical="center"/>
    </xf>
    <xf numFmtId="0" fontId="6" fillId="22" borderId="47" xfId="1" applyFont="1" applyFill="1" applyBorder="1" applyAlignment="1">
      <alignment horizontal="center" vertical="center"/>
    </xf>
    <xf numFmtId="0" fontId="6" fillId="22" borderId="14" xfId="1" applyFont="1" applyFill="1" applyBorder="1" applyAlignment="1">
      <alignment horizontal="center" vertical="center"/>
    </xf>
    <xf numFmtId="0" fontId="6" fillId="22" borderId="4" xfId="1" applyFont="1" applyFill="1" applyBorder="1" applyAlignment="1">
      <alignment horizontal="center" vertical="center"/>
    </xf>
    <xf numFmtId="0" fontId="6" fillId="22" borderId="5" xfId="1" applyFont="1" applyFill="1" applyBorder="1" applyAlignment="1">
      <alignment horizontal="center" vertical="center"/>
    </xf>
    <xf numFmtId="0" fontId="6" fillId="22" borderId="6" xfId="1" applyFont="1" applyFill="1" applyBorder="1" applyAlignment="1">
      <alignment horizontal="center" vertical="center"/>
    </xf>
    <xf numFmtId="0" fontId="6" fillId="22" borderId="7" xfId="1" applyFont="1" applyFill="1" applyBorder="1" applyAlignment="1">
      <alignment horizontal="center" vertical="center"/>
    </xf>
    <xf numFmtId="0" fontId="6" fillId="22" borderId="8" xfId="1" applyFont="1" applyFill="1" applyBorder="1" applyAlignment="1">
      <alignment horizontal="center" vertical="center"/>
    </xf>
    <xf numFmtId="0" fontId="6" fillId="22" borderId="9" xfId="1" applyFont="1" applyFill="1" applyBorder="1" applyAlignment="1">
      <alignment horizontal="center" vertical="center"/>
    </xf>
    <xf numFmtId="0" fontId="6" fillId="22" borderId="33" xfId="1" applyFont="1" applyFill="1" applyBorder="1" applyAlignment="1">
      <alignment horizontal="center" vertical="center"/>
    </xf>
    <xf numFmtId="0" fontId="6" fillId="22" borderId="34" xfId="1" applyFont="1" applyFill="1" applyBorder="1" applyAlignment="1">
      <alignment horizontal="center" vertical="center"/>
    </xf>
    <xf numFmtId="0" fontId="6" fillId="22" borderId="35" xfId="1" applyFont="1" applyFill="1" applyBorder="1" applyAlignment="1">
      <alignment horizontal="center" vertical="center"/>
    </xf>
    <xf numFmtId="0" fontId="6" fillId="22" borderId="1" xfId="1" applyFont="1" applyFill="1" applyBorder="1" applyAlignment="1">
      <alignment horizontal="center" vertical="center"/>
    </xf>
    <xf numFmtId="0" fontId="6" fillId="22" borderId="2" xfId="1" applyFont="1" applyFill="1" applyBorder="1" applyAlignment="1">
      <alignment horizontal="center" vertical="center"/>
    </xf>
    <xf numFmtId="0" fontId="6" fillId="22" borderId="29" xfId="1" applyFont="1" applyFill="1" applyBorder="1" applyAlignment="1">
      <alignment horizontal="center" vertical="center"/>
    </xf>
    <xf numFmtId="0" fontId="6" fillId="22" borderId="49" xfId="1" applyFont="1" applyFill="1" applyBorder="1" applyAlignment="1">
      <alignment horizontal="center" vertical="center"/>
    </xf>
    <xf numFmtId="0" fontId="6" fillId="22" borderId="30" xfId="1" applyFont="1" applyFill="1" applyBorder="1" applyAlignment="1">
      <alignment horizontal="center" vertical="center"/>
    </xf>
    <xf numFmtId="0" fontId="6" fillId="23" borderId="4" xfId="1" applyFont="1" applyFill="1" applyBorder="1" applyAlignment="1">
      <alignment horizontal="center" vertical="center"/>
    </xf>
    <xf numFmtId="0" fontId="6" fillId="23" borderId="5" xfId="1" applyFont="1" applyFill="1" applyBorder="1" applyAlignment="1">
      <alignment horizontal="center" vertical="center"/>
    </xf>
    <xf numFmtId="0" fontId="6" fillId="23" borderId="6" xfId="1" applyFont="1" applyFill="1" applyBorder="1" applyAlignment="1">
      <alignment horizontal="center" vertical="center"/>
    </xf>
    <xf numFmtId="0" fontId="6" fillId="23" borderId="40" xfId="1" applyFont="1" applyFill="1" applyBorder="1" applyAlignment="1">
      <alignment horizontal="center" vertical="center"/>
    </xf>
    <xf numFmtId="0" fontId="6" fillId="23" borderId="41" xfId="1" applyFont="1" applyFill="1" applyBorder="1" applyAlignment="1">
      <alignment horizontal="center" vertical="center"/>
    </xf>
    <xf numFmtId="0" fontId="6" fillId="23" borderId="33" xfId="1" applyFont="1" applyFill="1" applyBorder="1" applyAlignment="1">
      <alignment horizontal="center" vertical="center"/>
    </xf>
    <xf numFmtId="0" fontId="6" fillId="23" borderId="34" xfId="1" applyFont="1" applyFill="1" applyBorder="1" applyAlignment="1">
      <alignment horizontal="center" vertical="center"/>
    </xf>
    <xf numFmtId="0" fontId="6" fillId="23" borderId="35" xfId="1" applyFont="1" applyFill="1" applyBorder="1" applyAlignment="1">
      <alignment horizontal="center" vertical="center"/>
    </xf>
    <xf numFmtId="0" fontId="6" fillId="23" borderId="29" xfId="1" applyFont="1" applyFill="1" applyBorder="1" applyAlignment="1">
      <alignment horizontal="center" vertical="center"/>
    </xf>
    <xf numFmtId="0" fontId="6" fillId="23" borderId="49" xfId="1" applyFont="1" applyFill="1" applyBorder="1" applyAlignment="1">
      <alignment horizontal="center" vertical="center"/>
    </xf>
    <xf numFmtId="0" fontId="6" fillId="28" borderId="7" xfId="1" applyFont="1" applyFill="1" applyBorder="1" applyAlignment="1">
      <alignment horizontal="center" vertical="center"/>
    </xf>
    <xf numFmtId="0" fontId="6" fillId="40" borderId="7" xfId="1" applyFont="1" applyFill="1" applyBorder="1" applyAlignment="1">
      <alignment horizontal="center" vertical="center"/>
    </xf>
    <xf numFmtId="0" fontId="6" fillId="34" borderId="7" xfId="1" applyFont="1" applyFill="1" applyBorder="1" applyAlignment="1">
      <alignment horizontal="center" vertical="center"/>
    </xf>
    <xf numFmtId="0" fontId="6" fillId="28" borderId="18" xfId="1" applyFont="1" applyFill="1" applyBorder="1" applyAlignment="1">
      <alignment horizontal="center" vertical="center"/>
    </xf>
    <xf numFmtId="0" fontId="5" fillId="3" borderId="47" xfId="1" applyFont="1" applyFill="1" applyBorder="1" applyAlignment="1">
      <alignment horizontal="center" vertical="center"/>
    </xf>
    <xf numFmtId="0" fontId="5" fillId="3" borderId="14" xfId="1" applyFont="1" applyFill="1" applyBorder="1" applyAlignment="1">
      <alignment horizontal="center" vertical="center"/>
    </xf>
    <xf numFmtId="0" fontId="5" fillId="3" borderId="15" xfId="1" applyFont="1" applyFill="1" applyBorder="1" applyAlignment="1">
      <alignment horizontal="center" vertical="center"/>
    </xf>
    <xf numFmtId="0" fontId="5" fillId="3" borderId="76" xfId="1" applyFont="1" applyFill="1" applyBorder="1" applyAlignment="1">
      <alignment horizontal="center" vertical="center"/>
    </xf>
    <xf numFmtId="0" fontId="12" fillId="8" borderId="77" xfId="0" applyFont="1" applyFill="1" applyBorder="1" applyAlignment="1">
      <alignment horizontal="center" vertical="center"/>
    </xf>
    <xf numFmtId="0" fontId="5" fillId="3" borderId="22" xfId="1" applyFont="1" applyFill="1" applyBorder="1" applyAlignment="1">
      <alignment horizontal="center" vertical="center"/>
    </xf>
    <xf numFmtId="0" fontId="5" fillId="3" borderId="20" xfId="1" applyFont="1" applyFill="1" applyBorder="1" applyAlignment="1">
      <alignment horizontal="center" vertical="center"/>
    </xf>
    <xf numFmtId="0" fontId="5" fillId="3" borderId="78" xfId="1" applyFont="1" applyFill="1" applyBorder="1" applyAlignment="1">
      <alignment horizontal="center" vertical="center"/>
    </xf>
    <xf numFmtId="0" fontId="5" fillId="3" borderId="55" xfId="1" applyFont="1" applyFill="1" applyBorder="1" applyAlignment="1">
      <alignment horizontal="center" vertical="center"/>
    </xf>
    <xf numFmtId="0" fontId="8" fillId="4" borderId="25" xfId="1" applyFont="1" applyFill="1" applyBorder="1" applyAlignment="1">
      <alignment horizontal="center" vertical="center"/>
    </xf>
    <xf numFmtId="0" fontId="8" fillId="5" borderId="25" xfId="1" applyFont="1" applyFill="1" applyBorder="1" applyAlignment="1">
      <alignment horizontal="center" vertical="center"/>
    </xf>
    <xf numFmtId="0" fontId="8" fillId="6" borderId="48" xfId="1" applyFont="1" applyFill="1" applyBorder="1" applyAlignment="1">
      <alignment horizontal="center" vertical="center"/>
    </xf>
    <xf numFmtId="0" fontId="6" fillId="22" borderId="75" xfId="1" applyFont="1" applyFill="1" applyBorder="1" applyAlignment="1">
      <alignment horizontal="center" vertical="center"/>
    </xf>
    <xf numFmtId="0" fontId="5" fillId="3" borderId="75" xfId="1" applyFont="1" applyFill="1" applyBorder="1" applyAlignment="1">
      <alignment horizontal="center" vertical="center"/>
    </xf>
    <xf numFmtId="0" fontId="17" fillId="0" borderId="0" xfId="2" applyFont="1" applyFill="1" applyBorder="1" applyAlignment="1">
      <alignment vertical="center"/>
    </xf>
    <xf numFmtId="0" fontId="3" fillId="32" borderId="71" xfId="1" applyFill="1" applyBorder="1" applyAlignment="1">
      <alignment horizontal="center" vertical="center"/>
    </xf>
    <xf numFmtId="0" fontId="8" fillId="0" borderId="0" xfId="1" applyFont="1" applyAlignment="1">
      <alignment horizontal="center" vertical="center"/>
    </xf>
    <xf numFmtId="0" fontId="6" fillId="0" borderId="0" xfId="1" applyFont="1" applyAlignment="1">
      <alignment horizontal="center" vertical="center"/>
    </xf>
    <xf numFmtId="0" fontId="7" fillId="0" borderId="0" xfId="1" applyFont="1" applyAlignment="1">
      <alignment horizontal="center" vertical="center"/>
    </xf>
    <xf numFmtId="0" fontId="4" fillId="0" borderId="0" xfId="1" applyFont="1" applyAlignment="1">
      <alignment vertical="center"/>
    </xf>
    <xf numFmtId="0" fontId="6" fillId="16" borderId="18" xfId="1" applyFont="1" applyFill="1" applyBorder="1" applyAlignment="1">
      <alignment horizontal="center" vertical="center"/>
    </xf>
    <xf numFmtId="0" fontId="6" fillId="16" borderId="22" xfId="1" applyFont="1" applyFill="1" applyBorder="1" applyAlignment="1">
      <alignment horizontal="center" vertical="center"/>
    </xf>
    <xf numFmtId="0" fontId="6" fillId="17" borderId="44" xfId="1" applyFont="1" applyFill="1" applyBorder="1" applyAlignment="1">
      <alignment horizontal="center" vertical="center"/>
    </xf>
    <xf numFmtId="0" fontId="6" fillId="16" borderId="26" xfId="1" applyFont="1" applyFill="1" applyBorder="1" applyAlignment="1">
      <alignment horizontal="center" vertical="center"/>
    </xf>
    <xf numFmtId="0" fontId="6" fillId="17" borderId="18" xfId="1" applyFont="1" applyFill="1" applyBorder="1" applyAlignment="1">
      <alignment horizontal="center" vertical="center"/>
    </xf>
    <xf numFmtId="0" fontId="10" fillId="21" borderId="80" xfId="1" applyFont="1" applyFill="1" applyBorder="1" applyAlignment="1">
      <alignment horizontal="center" vertical="center"/>
    </xf>
    <xf numFmtId="0" fontId="10" fillId="21" borderId="81" xfId="1" applyFont="1" applyFill="1" applyBorder="1" applyAlignment="1">
      <alignment horizontal="center" vertical="center"/>
    </xf>
    <xf numFmtId="0" fontId="10" fillId="21" borderId="82" xfId="1" applyFont="1" applyFill="1" applyBorder="1" applyAlignment="1">
      <alignment horizontal="center" vertical="center"/>
    </xf>
    <xf numFmtId="0" fontId="10" fillId="21" borderId="78" xfId="1" applyFont="1" applyFill="1" applyBorder="1" applyAlignment="1">
      <alignment horizontal="center" vertical="center"/>
    </xf>
    <xf numFmtId="0" fontId="6" fillId="16" borderId="84" xfId="1" applyFont="1" applyFill="1" applyBorder="1" applyAlignment="1">
      <alignment horizontal="center" vertical="center"/>
    </xf>
    <xf numFmtId="0" fontId="10" fillId="21" borderId="85" xfId="1" applyFont="1" applyFill="1" applyBorder="1" applyAlignment="1">
      <alignment horizontal="center" vertical="center"/>
    </xf>
    <xf numFmtId="0" fontId="8" fillId="6" borderId="3" xfId="1" applyFont="1" applyFill="1" applyBorder="1" applyAlignment="1">
      <alignment horizontal="center" vertical="center"/>
    </xf>
    <xf numFmtId="0" fontId="8" fillId="47" borderId="21" xfId="1" applyFont="1" applyFill="1" applyBorder="1" applyAlignment="1">
      <alignment horizontal="center" vertical="center"/>
    </xf>
    <xf numFmtId="0" fontId="8" fillId="47" borderId="21" xfId="1" applyFont="1" applyFill="1" applyBorder="1" applyAlignment="1">
      <alignment horizontal="center" vertical="center" shrinkToFit="1"/>
    </xf>
    <xf numFmtId="0" fontId="20" fillId="20" borderId="86" xfId="0" applyFont="1" applyFill="1" applyBorder="1" applyAlignment="1">
      <alignment horizontal="center" vertical="center" shrinkToFit="1"/>
    </xf>
    <xf numFmtId="0" fontId="20" fillId="20" borderId="83" xfId="0" applyFont="1" applyFill="1" applyBorder="1" applyAlignment="1">
      <alignment horizontal="center" vertical="center" shrinkToFit="1"/>
    </xf>
    <xf numFmtId="0" fontId="20" fillId="20" borderId="87" xfId="0" applyFont="1" applyFill="1" applyBorder="1" applyAlignment="1">
      <alignment horizontal="center" vertical="center" shrinkToFit="1"/>
    </xf>
    <xf numFmtId="0" fontId="0" fillId="17" borderId="70" xfId="0" applyFill="1" applyBorder="1" applyAlignment="1">
      <alignment horizontal="center" vertical="center"/>
    </xf>
    <xf numFmtId="0" fontId="0" fillId="17" borderId="31" xfId="0" applyFill="1" applyBorder="1" applyAlignment="1">
      <alignment horizontal="center" vertical="center"/>
    </xf>
    <xf numFmtId="0" fontId="0" fillId="17" borderId="71" xfId="0" applyFill="1" applyBorder="1" applyAlignment="1">
      <alignment horizontal="center" vertical="center"/>
    </xf>
    <xf numFmtId="0" fontId="0" fillId="17" borderId="73" xfId="0" applyFill="1" applyBorder="1" applyAlignment="1">
      <alignment horizontal="center" vertical="center"/>
    </xf>
    <xf numFmtId="0" fontId="0" fillId="17" borderId="74" xfId="0" applyFill="1" applyBorder="1" applyAlignment="1">
      <alignment horizontal="center" vertical="center"/>
    </xf>
    <xf numFmtId="0" fontId="0" fillId="16" borderId="31" xfId="0" applyFill="1" applyBorder="1" applyAlignment="1">
      <alignment horizontal="center" vertical="center"/>
    </xf>
    <xf numFmtId="0" fontId="0" fillId="16" borderId="71" xfId="0" applyFill="1" applyBorder="1" applyAlignment="1">
      <alignment horizontal="center" vertical="center"/>
    </xf>
    <xf numFmtId="0" fontId="0" fillId="7" borderId="46" xfId="0" applyFill="1" applyBorder="1"/>
    <xf numFmtId="0" fontId="20" fillId="20" borderId="88" xfId="0" applyFont="1" applyFill="1" applyBorder="1" applyAlignment="1">
      <alignment horizontal="center" vertical="center" shrinkToFit="1"/>
    </xf>
    <xf numFmtId="0" fontId="20" fillId="20" borderId="63" xfId="0" applyFont="1" applyFill="1" applyBorder="1" applyAlignment="1">
      <alignment horizontal="center" vertical="center" shrinkToFit="1"/>
    </xf>
    <xf numFmtId="0" fontId="20" fillId="20" borderId="64" xfId="0" applyFont="1" applyFill="1" applyBorder="1" applyAlignment="1">
      <alignment horizontal="center" vertical="center" shrinkToFit="1"/>
    </xf>
    <xf numFmtId="0" fontId="0" fillId="16" borderId="89" xfId="0" applyFill="1" applyBorder="1"/>
    <xf numFmtId="0" fontId="0" fillId="16" borderId="83" xfId="0" applyFill="1" applyBorder="1"/>
    <xf numFmtId="0" fontId="0" fillId="16" borderId="87" xfId="0" applyFill="1" applyBorder="1"/>
    <xf numFmtId="0" fontId="0" fillId="17" borderId="90" xfId="0" applyFill="1" applyBorder="1"/>
    <xf numFmtId="0" fontId="0" fillId="17" borderId="73" xfId="0" applyFill="1" applyBorder="1"/>
    <xf numFmtId="0" fontId="0" fillId="17" borderId="74" xfId="0" applyFill="1" applyBorder="1"/>
    <xf numFmtId="0" fontId="21" fillId="20" borderId="36" xfId="1" applyFont="1" applyFill="1" applyBorder="1" applyAlignment="1">
      <alignment horizontal="center" vertical="center"/>
    </xf>
    <xf numFmtId="0" fontId="21" fillId="20" borderId="45" xfId="1" applyFont="1" applyFill="1" applyBorder="1" applyAlignment="1">
      <alignment horizontal="center" vertical="center" shrinkToFit="1"/>
    </xf>
    <xf numFmtId="0" fontId="0" fillId="48" borderId="0" xfId="0" applyFill="1"/>
    <xf numFmtId="0" fontId="3" fillId="48" borderId="0" xfId="1" applyFill="1" applyAlignment="1">
      <alignment horizontal="center" vertical="center"/>
    </xf>
    <xf numFmtId="0" fontId="0" fillId="48" borderId="60" xfId="0" applyFill="1" applyBorder="1"/>
    <xf numFmtId="0" fontId="4" fillId="48" borderId="79" xfId="1" applyFont="1" applyFill="1" applyBorder="1" applyAlignment="1">
      <alignment vertical="center"/>
    </xf>
    <xf numFmtId="0" fontId="0" fillId="0" borderId="91" xfId="0" applyBorder="1"/>
    <xf numFmtId="0" fontId="4" fillId="0" borderId="91" xfId="1" applyFont="1" applyBorder="1" applyAlignment="1">
      <alignment vertical="center"/>
    </xf>
    <xf numFmtId="0" fontId="0" fillId="48" borderId="91" xfId="0" applyFill="1" applyBorder="1"/>
    <xf numFmtId="0" fontId="0" fillId="48" borderId="94" xfId="0" applyFill="1" applyBorder="1"/>
    <xf numFmtId="0" fontId="0" fillId="48" borderId="95" xfId="0" applyFill="1" applyBorder="1"/>
    <xf numFmtId="0" fontId="0" fillId="48" borderId="96" xfId="0" applyFill="1" applyBorder="1"/>
    <xf numFmtId="0" fontId="0" fillId="49" borderId="92" xfId="0" applyFill="1" applyBorder="1"/>
    <xf numFmtId="0" fontId="0" fillId="49" borderId="60" xfId="0" applyFill="1" applyBorder="1"/>
    <xf numFmtId="0" fontId="4" fillId="49" borderId="79" xfId="1" applyFont="1" applyFill="1" applyBorder="1" applyAlignment="1">
      <alignment vertical="center"/>
    </xf>
    <xf numFmtId="0" fontId="3" fillId="49" borderId="0" xfId="1" applyFill="1" applyAlignment="1">
      <alignment horizontal="center" vertical="center"/>
    </xf>
    <xf numFmtId="0" fontId="0" fillId="49" borderId="0" xfId="0" applyFill="1"/>
    <xf numFmtId="0" fontId="0" fillId="49" borderId="95" xfId="0" applyFill="1" applyBorder="1"/>
    <xf numFmtId="0" fontId="0" fillId="49" borderId="94" xfId="0" applyFill="1" applyBorder="1"/>
    <xf numFmtId="0" fontId="0" fillId="49" borderId="91" xfId="0" applyFill="1" applyBorder="1"/>
    <xf numFmtId="0" fontId="0" fillId="49" borderId="96" xfId="0" applyFill="1" applyBorder="1"/>
    <xf numFmtId="0" fontId="10" fillId="15" borderId="80" xfId="1" applyFont="1" applyFill="1" applyBorder="1" applyAlignment="1">
      <alignment horizontal="center" vertical="center"/>
    </xf>
    <xf numFmtId="0" fontId="10" fillId="15" borderId="81" xfId="1" applyFont="1" applyFill="1" applyBorder="1" applyAlignment="1">
      <alignment horizontal="center" vertical="center"/>
    </xf>
    <xf numFmtId="0" fontId="10" fillId="15" borderId="82" xfId="1" applyFont="1" applyFill="1" applyBorder="1" applyAlignment="1">
      <alignment horizontal="center" vertical="center"/>
    </xf>
    <xf numFmtId="0" fontId="10" fillId="15" borderId="85" xfId="1" applyFont="1" applyFill="1" applyBorder="1" applyAlignment="1">
      <alignment horizontal="center" vertical="center"/>
    </xf>
    <xf numFmtId="0" fontId="10" fillId="15" borderId="78" xfId="1" applyFont="1" applyFill="1" applyBorder="1" applyAlignment="1">
      <alignment horizontal="center" vertical="center"/>
    </xf>
    <xf numFmtId="0" fontId="21" fillId="14" borderId="36" xfId="1" applyFont="1" applyFill="1" applyBorder="1" applyAlignment="1">
      <alignment horizontal="center" vertical="center"/>
    </xf>
    <xf numFmtId="0" fontId="21" fillId="14" borderId="45" xfId="1" applyFont="1" applyFill="1" applyBorder="1" applyAlignment="1">
      <alignment horizontal="center" vertical="center" shrinkToFit="1"/>
    </xf>
    <xf numFmtId="0" fontId="20" fillId="14" borderId="88" xfId="0" applyFont="1" applyFill="1" applyBorder="1" applyAlignment="1">
      <alignment horizontal="center" vertical="center" shrinkToFit="1"/>
    </xf>
    <xf numFmtId="0" fontId="20" fillId="14" borderId="63" xfId="0" applyFont="1" applyFill="1" applyBorder="1" applyAlignment="1">
      <alignment horizontal="center" vertical="center" shrinkToFit="1"/>
    </xf>
    <xf numFmtId="0" fontId="20" fillId="14" borderId="64" xfId="0" applyFont="1" applyFill="1" applyBorder="1" applyAlignment="1">
      <alignment horizontal="center" vertical="center" shrinkToFit="1"/>
    </xf>
    <xf numFmtId="0" fontId="20" fillId="14" borderId="86" xfId="0" applyFont="1" applyFill="1" applyBorder="1" applyAlignment="1">
      <alignment horizontal="center" vertical="center" shrinkToFit="1"/>
    </xf>
    <xf numFmtId="0" fontId="20" fillId="14" borderId="83" xfId="0" applyFont="1" applyFill="1" applyBorder="1" applyAlignment="1">
      <alignment horizontal="center" vertical="center" shrinkToFit="1"/>
    </xf>
    <xf numFmtId="0" fontId="20" fillId="14" borderId="87" xfId="0" applyFont="1" applyFill="1" applyBorder="1" applyAlignment="1">
      <alignment horizontal="center" vertical="center" shrinkToFit="1"/>
    </xf>
    <xf numFmtId="0" fontId="6" fillId="12" borderId="18" xfId="1" applyFont="1" applyFill="1" applyBorder="1" applyAlignment="1">
      <alignment horizontal="center" vertical="center"/>
    </xf>
    <xf numFmtId="0" fontId="6" fillId="12" borderId="84" xfId="1" applyFont="1" applyFill="1" applyBorder="1" applyAlignment="1">
      <alignment horizontal="center" vertical="center"/>
    </xf>
    <xf numFmtId="0" fontId="6" fillId="12" borderId="26" xfId="1" applyFont="1" applyFill="1" applyBorder="1" applyAlignment="1">
      <alignment horizontal="center" vertical="center"/>
    </xf>
    <xf numFmtId="0" fontId="6" fillId="12" borderId="22" xfId="1" applyFont="1" applyFill="1" applyBorder="1" applyAlignment="1">
      <alignment horizontal="center" vertical="center"/>
    </xf>
    <xf numFmtId="0" fontId="0" fillId="10" borderId="70" xfId="0" applyFill="1" applyBorder="1" applyAlignment="1">
      <alignment horizontal="center" vertical="center"/>
    </xf>
    <xf numFmtId="0" fontId="0" fillId="10" borderId="31" xfId="0" applyFill="1" applyBorder="1" applyAlignment="1">
      <alignment horizontal="center" vertical="center"/>
    </xf>
    <xf numFmtId="0" fontId="0" fillId="10" borderId="71" xfId="0" applyFill="1" applyBorder="1" applyAlignment="1">
      <alignment horizontal="center" vertical="center"/>
    </xf>
    <xf numFmtId="0" fontId="0" fillId="10" borderId="73" xfId="0" applyFill="1" applyBorder="1" applyAlignment="1">
      <alignment horizontal="center" vertical="center"/>
    </xf>
    <xf numFmtId="0" fontId="0" fillId="10" borderId="74" xfId="0" applyFill="1" applyBorder="1" applyAlignment="1">
      <alignment horizontal="center" vertical="center"/>
    </xf>
    <xf numFmtId="0" fontId="0" fillId="10" borderId="90" xfId="0" applyFill="1" applyBorder="1"/>
    <xf numFmtId="0" fontId="0" fillId="10" borderId="73" xfId="0" applyFill="1" applyBorder="1"/>
    <xf numFmtId="0" fontId="0" fillId="10" borderId="74" xfId="0" applyFill="1" applyBorder="1"/>
    <xf numFmtId="0" fontId="6" fillId="10" borderId="44" xfId="1" applyFont="1" applyFill="1" applyBorder="1" applyAlignment="1">
      <alignment horizontal="center" vertical="center"/>
    </xf>
    <xf numFmtId="0" fontId="6" fillId="10" borderId="18" xfId="1" applyFont="1" applyFill="1" applyBorder="1" applyAlignment="1">
      <alignment horizontal="center" vertical="center"/>
    </xf>
    <xf numFmtId="0" fontId="0" fillId="12" borderId="70" xfId="0" applyFill="1" applyBorder="1" applyAlignment="1">
      <alignment horizontal="center" vertical="center"/>
    </xf>
    <xf numFmtId="0" fontId="0" fillId="12" borderId="31" xfId="0" applyFill="1" applyBorder="1" applyAlignment="1">
      <alignment horizontal="center" vertical="center"/>
    </xf>
    <xf numFmtId="0" fontId="0" fillId="12" borderId="71" xfId="0" applyFill="1" applyBorder="1" applyAlignment="1">
      <alignment horizontal="center" vertical="center"/>
    </xf>
    <xf numFmtId="0" fontId="0" fillId="12" borderId="89" xfId="0" applyFill="1" applyBorder="1"/>
    <xf numFmtId="0" fontId="0" fillId="12" borderId="83" xfId="0" applyFill="1" applyBorder="1"/>
    <xf numFmtId="0" fontId="0" fillId="12" borderId="87" xfId="0" applyFill="1" applyBorder="1"/>
    <xf numFmtId="0" fontId="6" fillId="28" borderId="84" xfId="1" applyFont="1" applyFill="1" applyBorder="1" applyAlignment="1">
      <alignment horizontal="center" vertical="center"/>
    </xf>
    <xf numFmtId="0" fontId="6" fillId="28" borderId="26" xfId="1" applyFont="1" applyFill="1" applyBorder="1" applyAlignment="1">
      <alignment horizontal="center" vertical="center"/>
    </xf>
    <xf numFmtId="0" fontId="6" fillId="28" borderId="22" xfId="1" applyFont="1" applyFill="1" applyBorder="1" applyAlignment="1">
      <alignment horizontal="center" vertical="center"/>
    </xf>
    <xf numFmtId="0" fontId="0" fillId="50" borderId="92" xfId="0" applyFill="1" applyBorder="1"/>
    <xf numFmtId="0" fontId="0" fillId="50" borderId="60" xfId="0" applyFill="1" applyBorder="1"/>
    <xf numFmtId="0" fontId="4" fillId="50" borderId="79" xfId="1" applyFont="1" applyFill="1" applyBorder="1" applyAlignment="1">
      <alignment vertical="center"/>
    </xf>
    <xf numFmtId="0" fontId="0" fillId="50" borderId="0" xfId="0" applyFill="1"/>
    <xf numFmtId="0" fontId="0" fillId="50" borderId="91" xfId="0" applyFill="1" applyBorder="1"/>
    <xf numFmtId="0" fontId="0" fillId="50" borderId="94" xfId="0" applyFill="1" applyBorder="1"/>
    <xf numFmtId="0" fontId="0" fillId="50" borderId="95" xfId="0" applyFill="1" applyBorder="1"/>
    <xf numFmtId="0" fontId="0" fillId="50" borderId="96" xfId="0" applyFill="1" applyBorder="1"/>
    <xf numFmtId="0" fontId="6" fillId="29" borderId="44" xfId="1" applyFont="1" applyFill="1" applyBorder="1" applyAlignment="1">
      <alignment horizontal="center" vertical="center"/>
    </xf>
    <xf numFmtId="0" fontId="6" fillId="29" borderId="18" xfId="1" applyFont="1" applyFill="1" applyBorder="1" applyAlignment="1">
      <alignment horizontal="center" vertical="center"/>
    </xf>
    <xf numFmtId="0" fontId="6" fillId="40" borderId="18" xfId="1" applyFont="1" applyFill="1" applyBorder="1" applyAlignment="1">
      <alignment horizontal="center" vertical="center"/>
    </xf>
    <xf numFmtId="0" fontId="6" fillId="40" borderId="84" xfId="1" applyFont="1" applyFill="1" applyBorder="1" applyAlignment="1">
      <alignment horizontal="center" vertical="center"/>
    </xf>
    <xf numFmtId="0" fontId="6" fillId="40" borderId="26" xfId="1" applyFont="1" applyFill="1" applyBorder="1" applyAlignment="1">
      <alignment horizontal="center" vertical="center"/>
    </xf>
    <xf numFmtId="0" fontId="6" fillId="40" borderId="22" xfId="1" applyFont="1" applyFill="1" applyBorder="1" applyAlignment="1">
      <alignment horizontal="center" vertical="center"/>
    </xf>
    <xf numFmtId="0" fontId="6" fillId="41" borderId="44" xfId="1" applyFont="1" applyFill="1" applyBorder="1" applyAlignment="1">
      <alignment horizontal="center" vertical="center"/>
    </xf>
    <xf numFmtId="0" fontId="6" fillId="41" borderId="18" xfId="1" applyFont="1" applyFill="1" applyBorder="1" applyAlignment="1">
      <alignment horizontal="center" vertical="center"/>
    </xf>
    <xf numFmtId="0" fontId="0" fillId="51" borderId="92" xfId="0" applyFill="1" applyBorder="1"/>
    <xf numFmtId="0" fontId="0" fillId="51" borderId="60" xfId="0" applyFill="1" applyBorder="1"/>
    <xf numFmtId="0" fontId="4" fillId="51" borderId="79" xfId="1" applyFont="1" applyFill="1" applyBorder="1" applyAlignment="1">
      <alignment vertical="center"/>
    </xf>
    <xf numFmtId="0" fontId="3" fillId="51" borderId="0" xfId="1" applyFill="1" applyAlignment="1">
      <alignment horizontal="center" vertical="center"/>
    </xf>
    <xf numFmtId="0" fontId="0" fillId="51" borderId="0" xfId="0" applyFill="1"/>
    <xf numFmtId="0" fontId="0" fillId="51" borderId="95" xfId="0" applyFill="1" applyBorder="1"/>
    <xf numFmtId="0" fontId="0" fillId="51" borderId="91" xfId="0" applyFill="1" applyBorder="1"/>
    <xf numFmtId="0" fontId="0" fillId="51" borderId="94" xfId="0" applyFill="1" applyBorder="1"/>
    <xf numFmtId="0" fontId="0" fillId="51" borderId="96" xfId="0" applyFill="1" applyBorder="1"/>
    <xf numFmtId="0" fontId="6" fillId="34" borderId="18" xfId="1" applyFont="1" applyFill="1" applyBorder="1" applyAlignment="1">
      <alignment horizontal="center" vertical="center"/>
    </xf>
    <xf numFmtId="0" fontId="6" fillId="34" borderId="84" xfId="1" applyFont="1" applyFill="1" applyBorder="1" applyAlignment="1">
      <alignment horizontal="center" vertical="center"/>
    </xf>
    <xf numFmtId="0" fontId="6" fillId="34" borderId="26" xfId="1" applyFont="1" applyFill="1" applyBorder="1" applyAlignment="1">
      <alignment horizontal="center" vertical="center"/>
    </xf>
    <xf numFmtId="0" fontId="6" fillId="34" borderId="22" xfId="1" applyFont="1" applyFill="1" applyBorder="1" applyAlignment="1">
      <alignment horizontal="center" vertical="center"/>
    </xf>
    <xf numFmtId="0" fontId="0" fillId="52" borderId="0" xfId="0" applyFill="1"/>
    <xf numFmtId="0" fontId="0" fillId="52" borderId="92" xfId="0" applyFill="1" applyBorder="1"/>
    <xf numFmtId="0" fontId="0" fillId="52" borderId="60" xfId="0" applyFill="1" applyBorder="1"/>
    <xf numFmtId="0" fontId="4" fillId="52" borderId="79" xfId="1" applyFont="1" applyFill="1" applyBorder="1" applyAlignment="1">
      <alignment vertical="center"/>
    </xf>
    <xf numFmtId="0" fontId="3" fillId="52" borderId="0" xfId="1" applyFill="1" applyAlignment="1">
      <alignment horizontal="center" vertical="center"/>
    </xf>
    <xf numFmtId="0" fontId="0" fillId="52" borderId="95" xfId="0" applyFill="1" applyBorder="1"/>
    <xf numFmtId="0" fontId="0" fillId="52" borderId="91" xfId="0" applyFill="1" applyBorder="1"/>
    <xf numFmtId="0" fontId="0" fillId="52" borderId="94" xfId="0" applyFill="1" applyBorder="1"/>
    <xf numFmtId="0" fontId="0" fillId="52" borderId="96" xfId="0" applyFill="1" applyBorder="1"/>
    <xf numFmtId="0" fontId="6" fillId="35" borderId="44" xfId="1" applyFont="1" applyFill="1" applyBorder="1" applyAlignment="1">
      <alignment horizontal="center" vertical="center"/>
    </xf>
    <xf numFmtId="0" fontId="6" fillId="35" borderId="18" xfId="1" applyFont="1" applyFill="1" applyBorder="1" applyAlignment="1">
      <alignment horizontal="center" vertical="center"/>
    </xf>
    <xf numFmtId="0" fontId="23" fillId="39" borderId="80" xfId="1" applyFont="1" applyFill="1" applyBorder="1" applyAlignment="1">
      <alignment horizontal="center" vertical="center"/>
    </xf>
    <xf numFmtId="0" fontId="23" fillId="39" borderId="81" xfId="1" applyFont="1" applyFill="1" applyBorder="1" applyAlignment="1">
      <alignment horizontal="center" vertical="center"/>
    </xf>
    <xf numFmtId="0" fontId="23" fillId="39" borderId="82" xfId="1" applyFont="1" applyFill="1" applyBorder="1" applyAlignment="1">
      <alignment horizontal="center" vertical="center"/>
    </xf>
    <xf numFmtId="0" fontId="23" fillId="39" borderId="85" xfId="1" applyFont="1" applyFill="1" applyBorder="1" applyAlignment="1">
      <alignment horizontal="center" vertical="center"/>
    </xf>
    <xf numFmtId="0" fontId="23" fillId="39" borderId="78" xfId="1" applyFont="1" applyFill="1" applyBorder="1" applyAlignment="1">
      <alignment horizontal="center" vertical="center"/>
    </xf>
    <xf numFmtId="0" fontId="18" fillId="38" borderId="86" xfId="0" applyFont="1" applyFill="1" applyBorder="1" applyAlignment="1">
      <alignment horizontal="center" vertical="center" shrinkToFit="1"/>
    </xf>
    <xf numFmtId="0" fontId="18" fillId="38" borderId="83" xfId="0" applyFont="1" applyFill="1" applyBorder="1" applyAlignment="1">
      <alignment horizontal="center" vertical="center" shrinkToFit="1"/>
    </xf>
    <xf numFmtId="0" fontId="18" fillId="38" borderId="87" xfId="0" applyFont="1" applyFill="1" applyBorder="1" applyAlignment="1">
      <alignment horizontal="center" vertical="center" shrinkToFit="1"/>
    </xf>
    <xf numFmtId="0" fontId="0" fillId="35" borderId="70" xfId="0" applyFill="1" applyBorder="1" applyAlignment="1">
      <alignment horizontal="center" vertical="center"/>
    </xf>
    <xf numFmtId="0" fontId="0" fillId="35" borderId="31" xfId="0" applyFill="1" applyBorder="1" applyAlignment="1">
      <alignment horizontal="center" vertical="center"/>
    </xf>
    <xf numFmtId="0" fontId="0" fillId="35" borderId="71" xfId="0" applyFill="1" applyBorder="1" applyAlignment="1">
      <alignment horizontal="center" vertical="center"/>
    </xf>
    <xf numFmtId="0" fontId="0" fillId="34" borderId="70" xfId="0" applyFill="1" applyBorder="1" applyAlignment="1">
      <alignment horizontal="center" vertical="center"/>
    </xf>
    <xf numFmtId="0" fontId="0" fillId="34" borderId="31" xfId="0" applyFill="1" applyBorder="1" applyAlignment="1">
      <alignment horizontal="center" vertical="center"/>
    </xf>
    <xf numFmtId="0" fontId="0" fillId="34" borderId="71" xfId="0" applyFill="1" applyBorder="1" applyAlignment="1">
      <alignment horizontal="center" vertical="center"/>
    </xf>
    <xf numFmtId="0" fontId="0" fillId="35" borderId="73" xfId="0" applyFill="1" applyBorder="1" applyAlignment="1">
      <alignment horizontal="center" vertical="center"/>
    </xf>
    <xf numFmtId="0" fontId="0" fillId="35" borderId="74" xfId="0" applyFill="1" applyBorder="1" applyAlignment="1">
      <alignment horizontal="center" vertical="center"/>
    </xf>
    <xf numFmtId="0" fontId="18" fillId="38" borderId="88" xfId="0" applyFont="1" applyFill="1" applyBorder="1" applyAlignment="1">
      <alignment horizontal="center" vertical="center" shrinkToFit="1"/>
    </xf>
    <xf numFmtId="0" fontId="18" fillId="38" borderId="63" xfId="0" applyFont="1" applyFill="1" applyBorder="1" applyAlignment="1">
      <alignment horizontal="center" vertical="center" shrinkToFit="1"/>
    </xf>
    <xf numFmtId="0" fontId="18" fillId="38" borderId="64" xfId="0" applyFont="1" applyFill="1" applyBorder="1" applyAlignment="1">
      <alignment horizontal="center" vertical="center" shrinkToFit="1"/>
    </xf>
    <xf numFmtId="0" fontId="24" fillId="38" borderId="36" xfId="1" applyFont="1" applyFill="1" applyBorder="1" applyAlignment="1">
      <alignment horizontal="center" vertical="center"/>
    </xf>
    <xf numFmtId="0" fontId="0" fillId="34" borderId="89" xfId="0" applyFill="1" applyBorder="1"/>
    <xf numFmtId="0" fontId="0" fillId="34" borderId="83" xfId="0" applyFill="1" applyBorder="1"/>
    <xf numFmtId="0" fontId="0" fillId="34" borderId="87" xfId="0" applyFill="1" applyBorder="1"/>
    <xf numFmtId="0" fontId="24" fillId="38" borderId="45" xfId="1" applyFont="1" applyFill="1" applyBorder="1" applyAlignment="1">
      <alignment horizontal="center" vertical="center" shrinkToFit="1"/>
    </xf>
    <xf numFmtId="0" fontId="0" fillId="35" borderId="90" xfId="0" applyFill="1" applyBorder="1"/>
    <xf numFmtId="0" fontId="0" fillId="35" borderId="73" xfId="0" applyFill="1" applyBorder="1"/>
    <xf numFmtId="0" fontId="0" fillId="35" borderId="74" xfId="0" applyFill="1" applyBorder="1"/>
    <xf numFmtId="0" fontId="24" fillId="6" borderId="3" xfId="1" applyFont="1" applyFill="1" applyBorder="1" applyAlignment="1">
      <alignment horizontal="center" vertical="center"/>
    </xf>
    <xf numFmtId="0" fontId="24" fillId="47" borderId="21" xfId="1" applyFont="1" applyFill="1" applyBorder="1" applyAlignment="1">
      <alignment horizontal="center" vertical="center"/>
    </xf>
    <xf numFmtId="0" fontId="24" fillId="47" borderId="21" xfId="1" applyFont="1" applyFill="1" applyBorder="1" applyAlignment="1">
      <alignment horizontal="center" vertical="center" shrinkToFit="1"/>
    </xf>
    <xf numFmtId="0" fontId="23" fillId="50" borderId="0" xfId="1" applyFont="1" applyFill="1" applyAlignment="1">
      <alignment horizontal="center" vertical="center"/>
    </xf>
    <xf numFmtId="0" fontId="18" fillId="32" borderId="86" xfId="0" applyFont="1" applyFill="1" applyBorder="1" applyAlignment="1">
      <alignment horizontal="center" vertical="center" shrinkToFit="1"/>
    </xf>
    <xf numFmtId="0" fontId="18" fillId="32" borderId="83" xfId="0" applyFont="1" applyFill="1" applyBorder="1" applyAlignment="1">
      <alignment horizontal="center" vertical="center" shrinkToFit="1"/>
    </xf>
    <xf numFmtId="0" fontId="18" fillId="32" borderId="87" xfId="0" applyFont="1" applyFill="1" applyBorder="1" applyAlignment="1">
      <alignment horizontal="center" vertical="center" shrinkToFit="1"/>
    </xf>
    <xf numFmtId="0" fontId="23" fillId="33" borderId="80" xfId="1" applyFont="1" applyFill="1" applyBorder="1" applyAlignment="1">
      <alignment horizontal="center" vertical="center"/>
    </xf>
    <xf numFmtId="0" fontId="1" fillId="29" borderId="70" xfId="0" applyFont="1" applyFill="1" applyBorder="1" applyAlignment="1">
      <alignment horizontal="center" vertical="center"/>
    </xf>
    <xf numFmtId="0" fontId="1" fillId="29" borderId="31" xfId="0" applyFont="1" applyFill="1" applyBorder="1" applyAlignment="1">
      <alignment horizontal="center" vertical="center"/>
    </xf>
    <xf numFmtId="0" fontId="1" fillId="29" borderId="71" xfId="0" applyFont="1" applyFill="1" applyBorder="1" applyAlignment="1">
      <alignment horizontal="center" vertical="center"/>
    </xf>
    <xf numFmtId="0" fontId="23" fillId="33" borderId="81" xfId="1" applyFont="1" applyFill="1" applyBorder="1" applyAlignment="1">
      <alignment horizontal="center" vertical="center"/>
    </xf>
    <xf numFmtId="0" fontId="1" fillId="28" borderId="70" xfId="0" applyFont="1" applyFill="1" applyBorder="1" applyAlignment="1">
      <alignment horizontal="center" vertical="center"/>
    </xf>
    <xf numFmtId="0" fontId="1" fillId="28" borderId="31" xfId="0" applyFont="1" applyFill="1" applyBorder="1" applyAlignment="1">
      <alignment horizontal="center" vertical="center"/>
    </xf>
    <xf numFmtId="0" fontId="1" fillId="28" borderId="71" xfId="0" applyFont="1" applyFill="1" applyBorder="1" applyAlignment="1">
      <alignment horizontal="center" vertical="center"/>
    </xf>
    <xf numFmtId="0" fontId="23" fillId="33" borderId="82" xfId="1" applyFont="1" applyFill="1" applyBorder="1" applyAlignment="1">
      <alignment horizontal="center" vertical="center"/>
    </xf>
    <xf numFmtId="0" fontId="1" fillId="29" borderId="73" xfId="0" applyFont="1" applyFill="1" applyBorder="1" applyAlignment="1">
      <alignment horizontal="center" vertical="center"/>
    </xf>
    <xf numFmtId="0" fontId="1" fillId="29" borderId="74" xfId="0" applyFont="1" applyFill="1" applyBorder="1" applyAlignment="1">
      <alignment horizontal="center" vertical="center"/>
    </xf>
    <xf numFmtId="0" fontId="23" fillId="33" borderId="85" xfId="1" applyFont="1" applyFill="1" applyBorder="1" applyAlignment="1">
      <alignment horizontal="center" vertical="center"/>
    </xf>
    <xf numFmtId="0" fontId="1" fillId="50" borderId="0" xfId="0" applyFont="1" applyFill="1"/>
    <xf numFmtId="0" fontId="1" fillId="7" borderId="46" xfId="0" applyFont="1" applyFill="1" applyBorder="1"/>
    <xf numFmtId="0" fontId="18" fillId="32" borderId="88" xfId="0" applyFont="1" applyFill="1" applyBorder="1" applyAlignment="1">
      <alignment horizontal="center" vertical="center" shrinkToFit="1"/>
    </xf>
    <xf numFmtId="0" fontId="18" fillId="32" borderId="63" xfId="0" applyFont="1" applyFill="1" applyBorder="1" applyAlignment="1">
      <alignment horizontal="center" vertical="center" shrinkToFit="1"/>
    </xf>
    <xf numFmtId="0" fontId="18" fillId="32" borderId="64" xfId="0" applyFont="1" applyFill="1" applyBorder="1" applyAlignment="1">
      <alignment horizontal="center" vertical="center" shrinkToFit="1"/>
    </xf>
    <xf numFmtId="0" fontId="1" fillId="50" borderId="91" xfId="0" applyFont="1" applyFill="1" applyBorder="1"/>
    <xf numFmtId="0" fontId="24" fillId="32" borderId="36" xfId="1" applyFont="1" applyFill="1" applyBorder="1" applyAlignment="1">
      <alignment horizontal="center" vertical="center"/>
    </xf>
    <xf numFmtId="0" fontId="1" fillId="28" borderId="89" xfId="0" applyFont="1" applyFill="1" applyBorder="1"/>
    <xf numFmtId="0" fontId="1" fillId="28" borderId="83" xfId="0" applyFont="1" applyFill="1" applyBorder="1"/>
    <xf numFmtId="0" fontId="1" fillId="28" borderId="87" xfId="0" applyFont="1" applyFill="1" applyBorder="1"/>
    <xf numFmtId="0" fontId="23" fillId="33" borderId="78" xfId="1" applyFont="1" applyFill="1" applyBorder="1" applyAlignment="1">
      <alignment horizontal="center" vertical="center"/>
    </xf>
    <xf numFmtId="0" fontId="24" fillId="32" borderId="45" xfId="1" applyFont="1" applyFill="1" applyBorder="1" applyAlignment="1">
      <alignment horizontal="center" vertical="center" shrinkToFit="1"/>
    </xf>
    <xf numFmtId="0" fontId="1" fillId="29" borderId="90" xfId="0" applyFont="1" applyFill="1" applyBorder="1"/>
    <xf numFmtId="0" fontId="1" fillId="29" borderId="73" xfId="0" applyFont="1" applyFill="1" applyBorder="1"/>
    <xf numFmtId="0" fontId="1" fillId="29" borderId="74" xfId="0" applyFont="1" applyFill="1" applyBorder="1"/>
    <xf numFmtId="0" fontId="18" fillId="44" borderId="86" xfId="0" applyFont="1" applyFill="1" applyBorder="1" applyAlignment="1">
      <alignment horizontal="center" vertical="center" shrinkToFit="1"/>
    </xf>
    <xf numFmtId="0" fontId="18" fillId="44" borderId="83" xfId="0" applyFont="1" applyFill="1" applyBorder="1" applyAlignment="1">
      <alignment horizontal="center" vertical="center" shrinkToFit="1"/>
    </xf>
    <xf numFmtId="0" fontId="18" fillId="44" borderId="87" xfId="0" applyFont="1" applyFill="1" applyBorder="1" applyAlignment="1">
      <alignment horizontal="center" vertical="center" shrinkToFit="1"/>
    </xf>
    <xf numFmtId="0" fontId="0" fillId="41" borderId="70" xfId="0" applyFill="1" applyBorder="1" applyAlignment="1">
      <alignment horizontal="center" vertical="center"/>
    </xf>
    <xf numFmtId="0" fontId="0" fillId="41" borderId="31" xfId="0" applyFill="1" applyBorder="1" applyAlignment="1">
      <alignment horizontal="center" vertical="center"/>
    </xf>
    <xf numFmtId="0" fontId="0" fillId="41" borderId="71" xfId="0" applyFill="1" applyBorder="1" applyAlignment="1">
      <alignment horizontal="center" vertical="center"/>
    </xf>
    <xf numFmtId="0" fontId="0" fillId="40" borderId="70" xfId="0" applyFill="1" applyBorder="1" applyAlignment="1">
      <alignment horizontal="center" vertical="center"/>
    </xf>
    <xf numFmtId="0" fontId="0" fillId="40" borderId="31" xfId="0" applyFill="1" applyBorder="1" applyAlignment="1">
      <alignment horizontal="center" vertical="center"/>
    </xf>
    <xf numFmtId="0" fontId="0" fillId="40" borderId="71" xfId="0" applyFill="1" applyBorder="1" applyAlignment="1">
      <alignment horizontal="center" vertical="center"/>
    </xf>
    <xf numFmtId="0" fontId="0" fillId="41" borderId="73" xfId="0" applyFill="1" applyBorder="1" applyAlignment="1">
      <alignment horizontal="center" vertical="center"/>
    </xf>
    <xf numFmtId="0" fontId="0" fillId="41" borderId="74" xfId="0" applyFill="1" applyBorder="1" applyAlignment="1">
      <alignment horizontal="center" vertical="center"/>
    </xf>
    <xf numFmtId="0" fontId="18" fillId="44" borderId="88" xfId="0" applyFont="1" applyFill="1" applyBorder="1" applyAlignment="1">
      <alignment horizontal="center" vertical="center" shrinkToFit="1"/>
    </xf>
    <xf numFmtId="0" fontId="18" fillId="44" borderId="63" xfId="0" applyFont="1" applyFill="1" applyBorder="1" applyAlignment="1">
      <alignment horizontal="center" vertical="center" shrinkToFit="1"/>
    </xf>
    <xf numFmtId="0" fontId="18" fillId="44" borderId="64" xfId="0" applyFont="1" applyFill="1" applyBorder="1" applyAlignment="1">
      <alignment horizontal="center" vertical="center" shrinkToFit="1"/>
    </xf>
    <xf numFmtId="0" fontId="24" fillId="44" borderId="36" xfId="1" applyFont="1" applyFill="1" applyBorder="1" applyAlignment="1">
      <alignment horizontal="center" vertical="center"/>
    </xf>
    <xf numFmtId="0" fontId="0" fillId="40" borderId="89" xfId="0" applyFill="1" applyBorder="1"/>
    <xf numFmtId="0" fontId="0" fillId="40" borderId="83" xfId="0" applyFill="1" applyBorder="1"/>
    <xf numFmtId="0" fontId="0" fillId="40" borderId="87" xfId="0" applyFill="1" applyBorder="1"/>
    <xf numFmtId="0" fontId="24" fillId="44" borderId="45" xfId="1" applyFont="1" applyFill="1" applyBorder="1" applyAlignment="1">
      <alignment horizontal="center" vertical="center" shrinkToFit="1"/>
    </xf>
    <xf numFmtId="0" fontId="0" fillId="41" borderId="90" xfId="0" applyFill="1" applyBorder="1"/>
    <xf numFmtId="0" fontId="0" fillId="41" borderId="73" xfId="0" applyFill="1" applyBorder="1"/>
    <xf numFmtId="0" fontId="0" fillId="41" borderId="74" xfId="0" applyFill="1" applyBorder="1"/>
    <xf numFmtId="0" fontId="23" fillId="45" borderId="80" xfId="1" applyFont="1" applyFill="1" applyBorder="1" applyAlignment="1">
      <alignment horizontal="center" vertical="center"/>
    </xf>
    <xf numFmtId="0" fontId="23" fillId="45" borderId="81" xfId="1" applyFont="1" applyFill="1" applyBorder="1" applyAlignment="1">
      <alignment horizontal="center" vertical="center"/>
    </xf>
    <xf numFmtId="0" fontId="23" fillId="45" borderId="82" xfId="1" applyFont="1" applyFill="1" applyBorder="1" applyAlignment="1">
      <alignment horizontal="center" vertical="center"/>
    </xf>
    <xf numFmtId="0" fontId="23" fillId="45" borderId="85" xfId="1" applyFont="1" applyFill="1" applyBorder="1" applyAlignment="1">
      <alignment horizontal="center" vertical="center"/>
    </xf>
    <xf numFmtId="0" fontId="23" fillId="45" borderId="78" xfId="1" applyFont="1" applyFill="1" applyBorder="1" applyAlignment="1">
      <alignment horizontal="center" vertical="center"/>
    </xf>
    <xf numFmtId="0" fontId="0" fillId="7" borderId="86" xfId="0" applyFill="1" applyBorder="1" applyAlignment="1">
      <alignment shrinkToFit="1"/>
    </xf>
    <xf numFmtId="0" fontId="0" fillId="7" borderId="83" xfId="0" applyFill="1" applyBorder="1" applyAlignment="1">
      <alignment shrinkToFit="1"/>
    </xf>
    <xf numFmtId="0" fontId="18" fillId="53" borderId="70" xfId="0" applyFont="1" applyFill="1" applyBorder="1" applyAlignment="1">
      <alignment shrinkToFit="1"/>
    </xf>
    <xf numFmtId="0" fontId="18" fillId="53" borderId="31" xfId="0" applyFont="1" applyFill="1" applyBorder="1" applyAlignment="1">
      <alignment shrinkToFit="1"/>
    </xf>
    <xf numFmtId="0" fontId="0" fillId="53" borderId="31" xfId="0" applyFill="1" applyBorder="1" applyAlignment="1">
      <alignment shrinkToFit="1"/>
    </xf>
    <xf numFmtId="0" fontId="0" fillId="53" borderId="71" xfId="0" applyFill="1" applyBorder="1" applyAlignment="1">
      <alignment shrinkToFit="1"/>
    </xf>
    <xf numFmtId="0" fontId="18" fillId="54" borderId="70" xfId="0" applyFont="1" applyFill="1" applyBorder="1" applyAlignment="1">
      <alignment shrinkToFit="1"/>
    </xf>
    <xf numFmtId="0" fontId="18" fillId="54" borderId="31" xfId="0" applyFont="1" applyFill="1" applyBorder="1" applyAlignment="1">
      <alignment shrinkToFit="1"/>
    </xf>
    <xf numFmtId="0" fontId="0" fillId="54" borderId="31" xfId="0" applyFill="1" applyBorder="1" applyAlignment="1">
      <alignment shrinkToFit="1"/>
    </xf>
    <xf numFmtId="0" fontId="0" fillId="54" borderId="71" xfId="0" applyFill="1" applyBorder="1" applyAlignment="1">
      <alignment shrinkToFit="1"/>
    </xf>
    <xf numFmtId="0" fontId="18" fillId="55" borderId="70" xfId="0" applyFont="1" applyFill="1" applyBorder="1" applyAlignment="1">
      <alignment shrinkToFit="1"/>
    </xf>
    <xf numFmtId="0" fontId="18" fillId="55" borderId="31" xfId="0" applyFont="1" applyFill="1" applyBorder="1" applyAlignment="1">
      <alignment shrinkToFit="1"/>
    </xf>
    <xf numFmtId="0" fontId="0" fillId="55" borderId="31" xfId="0" applyFill="1" applyBorder="1" applyAlignment="1">
      <alignment shrinkToFit="1"/>
    </xf>
    <xf numFmtId="0" fontId="0" fillId="55" borderId="71" xfId="0" applyFill="1" applyBorder="1" applyAlignment="1">
      <alignment shrinkToFit="1"/>
    </xf>
    <xf numFmtId="0" fontId="18" fillId="56" borderId="70" xfId="0" applyFont="1" applyFill="1" applyBorder="1" applyAlignment="1">
      <alignment shrinkToFit="1"/>
    </xf>
    <xf numFmtId="0" fontId="18" fillId="56" borderId="31" xfId="0" applyFont="1" applyFill="1" applyBorder="1" applyAlignment="1">
      <alignment shrinkToFit="1"/>
    </xf>
    <xf numFmtId="0" fontId="0" fillId="56" borderId="31" xfId="0" applyFill="1" applyBorder="1" applyAlignment="1">
      <alignment shrinkToFit="1"/>
    </xf>
    <xf numFmtId="0" fontId="0" fillId="56" borderId="71" xfId="0" applyFill="1" applyBorder="1" applyAlignment="1">
      <alignment shrinkToFit="1"/>
    </xf>
    <xf numFmtId="0" fontId="18" fillId="57" borderId="72" xfId="0" applyFont="1" applyFill="1" applyBorder="1" applyAlignment="1">
      <alignment shrinkToFit="1"/>
    </xf>
    <xf numFmtId="0" fontId="18" fillId="57" borderId="73" xfId="0" applyFont="1" applyFill="1" applyBorder="1" applyAlignment="1">
      <alignment shrinkToFit="1"/>
    </xf>
    <xf numFmtId="0" fontId="0" fillId="57" borderId="73" xfId="0" applyFill="1" applyBorder="1" applyAlignment="1">
      <alignment shrinkToFit="1"/>
    </xf>
    <xf numFmtId="0" fontId="0" fillId="57" borderId="74" xfId="0" applyFill="1" applyBorder="1" applyAlignment="1">
      <alignment shrinkToFit="1"/>
    </xf>
    <xf numFmtId="0" fontId="18" fillId="25" borderId="83" xfId="0" applyFont="1" applyFill="1" applyBorder="1" applyAlignment="1">
      <alignment shrinkToFit="1"/>
    </xf>
    <xf numFmtId="0" fontId="18" fillId="58" borderId="83" xfId="0" applyFont="1" applyFill="1" applyBorder="1" applyAlignment="1">
      <alignment shrinkToFit="1"/>
    </xf>
    <xf numFmtId="0" fontId="18" fillId="24" borderId="83" xfId="0" applyFont="1" applyFill="1" applyBorder="1" applyAlignment="1">
      <alignment shrinkToFit="1"/>
    </xf>
    <xf numFmtId="0" fontId="18" fillId="26" borderId="83" xfId="0" applyFont="1" applyFill="1" applyBorder="1" applyAlignment="1">
      <alignment shrinkToFit="1"/>
    </xf>
    <xf numFmtId="0" fontId="18" fillId="59" borderId="83" xfId="0" applyFont="1" applyFill="1" applyBorder="1" applyAlignment="1">
      <alignment shrinkToFit="1"/>
    </xf>
    <xf numFmtId="0" fontId="18" fillId="60" borderId="87" xfId="0" applyFont="1" applyFill="1" applyBorder="1" applyAlignment="1">
      <alignment shrinkToFit="1"/>
    </xf>
    <xf numFmtId="0" fontId="18" fillId="58" borderId="63" xfId="0" applyFont="1" applyFill="1" applyBorder="1" applyAlignment="1">
      <alignment horizontal="center" vertical="center" shrinkToFit="1"/>
    </xf>
    <xf numFmtId="0" fontId="18" fillId="24" borderId="63" xfId="0" applyFont="1" applyFill="1" applyBorder="1" applyAlignment="1">
      <alignment horizontal="center" vertical="center" shrinkToFit="1"/>
    </xf>
    <xf numFmtId="0" fontId="18" fillId="25" borderId="63" xfId="0" applyFont="1" applyFill="1" applyBorder="1" applyAlignment="1">
      <alignment horizontal="center" vertical="center" shrinkToFit="1"/>
    </xf>
    <xf numFmtId="0" fontId="18" fillId="26" borderId="63" xfId="0" applyFont="1" applyFill="1" applyBorder="1" applyAlignment="1">
      <alignment horizontal="center" vertical="center" shrinkToFit="1"/>
    </xf>
    <xf numFmtId="0" fontId="18" fillId="59" borderId="63" xfId="0" applyFont="1" applyFill="1" applyBorder="1" applyAlignment="1">
      <alignment horizontal="center" vertical="center" shrinkToFit="1"/>
    </xf>
    <xf numFmtId="0" fontId="18" fillId="60" borderId="64" xfId="0" applyFont="1" applyFill="1" applyBorder="1" applyAlignment="1">
      <alignment horizontal="center" vertical="center" shrinkToFit="1"/>
    </xf>
    <xf numFmtId="0" fontId="18" fillId="58" borderId="62" xfId="0" applyFont="1" applyFill="1" applyBorder="1" applyAlignment="1">
      <alignment horizontal="center" vertical="center" shrinkToFit="1"/>
    </xf>
    <xf numFmtId="0" fontId="18" fillId="60" borderId="63" xfId="0" applyFont="1" applyFill="1" applyBorder="1" applyAlignment="1">
      <alignment horizontal="center" vertical="center" shrinkToFit="1"/>
    </xf>
    <xf numFmtId="0" fontId="18" fillId="53" borderId="67" xfId="0" applyFont="1" applyFill="1" applyBorder="1" applyAlignment="1">
      <alignment horizontal="center" vertical="center" shrinkToFit="1"/>
    </xf>
    <xf numFmtId="0" fontId="0" fillId="53" borderId="70" xfId="0" applyFill="1" applyBorder="1" applyAlignment="1">
      <alignment horizontal="center" vertical="center"/>
    </xf>
    <xf numFmtId="0" fontId="0" fillId="53" borderId="31" xfId="0" applyFill="1" applyBorder="1" applyAlignment="1">
      <alignment horizontal="center" vertical="center"/>
    </xf>
    <xf numFmtId="0" fontId="0" fillId="54" borderId="31" xfId="0" applyFill="1" applyBorder="1" applyAlignment="1">
      <alignment horizontal="center" vertical="center"/>
    </xf>
    <xf numFmtId="0" fontId="0" fillId="53" borderId="71" xfId="0" applyFill="1" applyBorder="1" applyAlignment="1">
      <alignment horizontal="center" vertical="center"/>
    </xf>
    <xf numFmtId="0" fontId="0" fillId="54" borderId="70" xfId="0" applyFill="1" applyBorder="1" applyAlignment="1">
      <alignment horizontal="center" vertical="center"/>
    </xf>
    <xf numFmtId="0" fontId="0" fillId="54" borderId="71" xfId="0" applyFill="1" applyBorder="1" applyAlignment="1">
      <alignment horizontal="center" vertical="center"/>
    </xf>
    <xf numFmtId="0" fontId="0" fillId="35" borderId="72" xfId="0" applyFill="1" applyBorder="1" applyAlignment="1">
      <alignment horizontal="center" vertical="center"/>
    </xf>
    <xf numFmtId="0" fontId="0" fillId="17" borderId="86" xfId="0" applyFill="1" applyBorder="1" applyAlignment="1">
      <alignment horizontal="center" vertical="center"/>
    </xf>
    <xf numFmtId="0" fontId="0" fillId="17" borderId="83" xfId="0" applyFill="1" applyBorder="1" applyAlignment="1">
      <alignment horizontal="center" vertical="center"/>
    </xf>
    <xf numFmtId="0" fontId="0" fillId="17" borderId="87" xfId="0" applyFill="1" applyBorder="1" applyAlignment="1">
      <alignment horizontal="center" vertical="center"/>
    </xf>
    <xf numFmtId="0" fontId="0" fillId="2" borderId="0" xfId="0" applyFill="1"/>
    <xf numFmtId="0" fontId="0" fillId="2" borderId="99" xfId="0" applyFill="1" applyBorder="1"/>
    <xf numFmtId="0" fontId="0" fillId="2" borderId="100" xfId="0" applyFill="1" applyBorder="1"/>
    <xf numFmtId="0" fontId="0" fillId="2" borderId="101" xfId="0" applyFill="1" applyBorder="1"/>
    <xf numFmtId="0" fontId="0" fillId="2" borderId="93" xfId="0" applyFill="1" applyBorder="1"/>
    <xf numFmtId="0" fontId="0" fillId="2" borderId="91" xfId="0" applyFill="1" applyBorder="1"/>
    <xf numFmtId="0" fontId="0" fillId="2" borderId="102" xfId="0" applyFill="1" applyBorder="1"/>
    <xf numFmtId="0" fontId="0" fillId="2" borderId="66" xfId="0" applyFill="1" applyBorder="1"/>
    <xf numFmtId="0" fontId="27" fillId="28" borderId="47" xfId="1" applyFont="1" applyFill="1" applyBorder="1" applyAlignment="1">
      <alignment horizontal="center" vertical="center"/>
    </xf>
    <xf numFmtId="0" fontId="27" fillId="28" borderId="14" xfId="1" applyFont="1" applyFill="1" applyBorder="1" applyAlignment="1">
      <alignment horizontal="center" vertical="center"/>
    </xf>
    <xf numFmtId="0" fontId="23" fillId="0" borderId="0" xfId="1" applyFont="1" applyAlignment="1">
      <alignment horizontal="center" vertical="center"/>
    </xf>
    <xf numFmtId="0" fontId="1" fillId="0" borderId="0" xfId="0" applyFont="1"/>
    <xf numFmtId="0" fontId="27" fillId="28" borderId="4" xfId="1" applyFont="1" applyFill="1" applyBorder="1" applyAlignment="1">
      <alignment horizontal="center" vertical="center"/>
    </xf>
    <xf numFmtId="0" fontId="27" fillId="28" borderId="5" xfId="1" applyFont="1" applyFill="1" applyBorder="1" applyAlignment="1">
      <alignment horizontal="center" vertical="center"/>
    </xf>
    <xf numFmtId="0" fontId="27" fillId="28" borderId="6" xfId="1" applyFont="1" applyFill="1" applyBorder="1" applyAlignment="1">
      <alignment horizontal="center" vertical="center"/>
    </xf>
    <xf numFmtId="0" fontId="27" fillId="28" borderId="33" xfId="1" applyFont="1" applyFill="1" applyBorder="1" applyAlignment="1">
      <alignment horizontal="center" vertical="center"/>
    </xf>
    <xf numFmtId="0" fontId="27" fillId="28" borderId="34" xfId="1" applyFont="1" applyFill="1" applyBorder="1" applyAlignment="1">
      <alignment horizontal="center" vertical="center"/>
    </xf>
    <xf numFmtId="0" fontId="27" fillId="28" borderId="35" xfId="1" applyFont="1" applyFill="1" applyBorder="1" applyAlignment="1">
      <alignment horizontal="center" vertical="center"/>
    </xf>
    <xf numFmtId="0" fontId="27" fillId="29" borderId="40" xfId="1" applyFont="1" applyFill="1" applyBorder="1" applyAlignment="1">
      <alignment horizontal="center" vertical="center"/>
    </xf>
    <xf numFmtId="0" fontId="27" fillId="29" borderId="41" xfId="1" applyFont="1" applyFill="1" applyBorder="1" applyAlignment="1">
      <alignment horizontal="center" vertical="center"/>
    </xf>
    <xf numFmtId="0" fontId="27" fillId="29" borderId="4" xfId="1" applyFont="1" applyFill="1" applyBorder="1" applyAlignment="1">
      <alignment horizontal="center" vertical="center"/>
    </xf>
    <xf numFmtId="0" fontId="27" fillId="29" borderId="5" xfId="1" applyFont="1" applyFill="1" applyBorder="1" applyAlignment="1">
      <alignment horizontal="center" vertical="center"/>
    </xf>
    <xf numFmtId="0" fontId="27" fillId="29" borderId="6" xfId="1" applyFont="1" applyFill="1" applyBorder="1" applyAlignment="1">
      <alignment horizontal="center" vertical="center"/>
    </xf>
    <xf numFmtId="0" fontId="27" fillId="29" borderId="33" xfId="1" applyFont="1" applyFill="1" applyBorder="1" applyAlignment="1">
      <alignment horizontal="center" vertical="center"/>
    </xf>
    <xf numFmtId="0" fontId="27" fillId="29" borderId="34" xfId="1" applyFont="1" applyFill="1" applyBorder="1" applyAlignment="1">
      <alignment horizontal="center" vertical="center"/>
    </xf>
    <xf numFmtId="0" fontId="27" fillId="29" borderId="35" xfId="1" applyFont="1" applyFill="1" applyBorder="1" applyAlignment="1">
      <alignment horizontal="center" vertical="center"/>
    </xf>
    <xf numFmtId="0" fontId="27" fillId="28" borderId="1" xfId="1" applyFont="1" applyFill="1" applyBorder="1" applyAlignment="1">
      <alignment horizontal="center" vertical="center"/>
    </xf>
    <xf numFmtId="0" fontId="27" fillId="28" borderId="2" xfId="1" applyFont="1" applyFill="1" applyBorder="1" applyAlignment="1">
      <alignment horizontal="center" vertical="center"/>
    </xf>
    <xf numFmtId="0" fontId="27" fillId="28" borderId="18" xfId="1" applyFont="1" applyFill="1" applyBorder="1" applyAlignment="1">
      <alignment horizontal="center" vertical="center"/>
    </xf>
    <xf numFmtId="0" fontId="27" fillId="28" borderId="16" xfId="1" applyFont="1" applyFill="1" applyBorder="1" applyAlignment="1">
      <alignment horizontal="center" vertical="center"/>
    </xf>
    <xf numFmtId="0" fontId="27" fillId="9" borderId="7" xfId="1" applyFont="1" applyFill="1" applyBorder="1" applyAlignment="1">
      <alignment horizontal="center" vertical="center"/>
    </xf>
    <xf numFmtId="0" fontId="27" fillId="9" borderId="8" xfId="1" applyFont="1" applyFill="1" applyBorder="1" applyAlignment="1">
      <alignment horizontal="center" vertical="center"/>
    </xf>
    <xf numFmtId="0" fontId="27" fillId="34" borderId="47" xfId="1" applyFont="1" applyFill="1" applyBorder="1" applyAlignment="1">
      <alignment horizontal="center" vertical="center"/>
    </xf>
    <xf numFmtId="0" fontId="27" fillId="34" borderId="14" xfId="1" applyFont="1" applyFill="1" applyBorder="1" applyAlignment="1">
      <alignment horizontal="center" vertical="center"/>
    </xf>
    <xf numFmtId="0" fontId="27" fillId="34" borderId="4" xfId="1" applyFont="1" applyFill="1" applyBorder="1" applyAlignment="1">
      <alignment horizontal="center" vertical="center"/>
    </xf>
    <xf numFmtId="0" fontId="27" fillId="34" borderId="5" xfId="1" applyFont="1" applyFill="1" applyBorder="1" applyAlignment="1">
      <alignment horizontal="center" vertical="center"/>
    </xf>
    <xf numFmtId="0" fontId="27" fillId="34" borderId="33" xfId="1" applyFont="1" applyFill="1" applyBorder="1" applyAlignment="1">
      <alignment horizontal="center" vertical="center"/>
    </xf>
    <xf numFmtId="0" fontId="27" fillId="34" borderId="34" xfId="1" applyFont="1" applyFill="1" applyBorder="1" applyAlignment="1">
      <alignment horizontal="center" vertical="center"/>
    </xf>
    <xf numFmtId="0" fontId="27" fillId="35" borderId="40" xfId="1" applyFont="1" applyFill="1" applyBorder="1" applyAlignment="1">
      <alignment horizontal="center" vertical="center"/>
    </xf>
    <xf numFmtId="0" fontId="27" fillId="35" borderId="41" xfId="1" applyFont="1" applyFill="1" applyBorder="1" applyAlignment="1">
      <alignment horizontal="center" vertical="center"/>
    </xf>
    <xf numFmtId="0" fontId="27" fillId="35" borderId="4" xfId="1" applyFont="1" applyFill="1" applyBorder="1" applyAlignment="1">
      <alignment horizontal="center" vertical="center"/>
    </xf>
    <xf numFmtId="0" fontId="27" fillId="35" borderId="5" xfId="1" applyFont="1" applyFill="1" applyBorder="1" applyAlignment="1">
      <alignment horizontal="center" vertical="center"/>
    </xf>
    <xf numFmtId="0" fontId="27" fillId="35" borderId="33" xfId="1" applyFont="1" applyFill="1" applyBorder="1" applyAlignment="1">
      <alignment horizontal="center" vertical="center"/>
    </xf>
    <xf numFmtId="0" fontId="27" fillId="35" borderId="34" xfId="1" applyFont="1" applyFill="1" applyBorder="1" applyAlignment="1">
      <alignment horizontal="center" vertical="center"/>
    </xf>
    <xf numFmtId="0" fontId="27" fillId="34" borderId="1" xfId="1" applyFont="1" applyFill="1" applyBorder="1" applyAlignment="1">
      <alignment horizontal="center" vertical="center"/>
    </xf>
    <xf numFmtId="0" fontId="27" fillId="34" borderId="2" xfId="1" applyFont="1" applyFill="1" applyBorder="1" applyAlignment="1">
      <alignment horizontal="center" vertical="center"/>
    </xf>
    <xf numFmtId="0" fontId="27" fillId="34" borderId="7" xfId="1" applyFont="1" applyFill="1" applyBorder="1" applyAlignment="1">
      <alignment horizontal="center" vertical="center"/>
    </xf>
    <xf numFmtId="0" fontId="27" fillId="34" borderId="8" xfId="1" applyFont="1" applyFill="1" applyBorder="1" applyAlignment="1">
      <alignment horizontal="center" vertical="center"/>
    </xf>
    <xf numFmtId="0" fontId="28" fillId="3" borderId="47" xfId="1" applyFont="1" applyFill="1" applyBorder="1" applyAlignment="1">
      <alignment horizontal="center" vertical="center"/>
    </xf>
    <xf numFmtId="0" fontId="28" fillId="3" borderId="14" xfId="1" applyFont="1" applyFill="1" applyBorder="1" applyAlignment="1">
      <alignment horizontal="center" vertical="center"/>
    </xf>
    <xf numFmtId="0" fontId="28" fillId="3" borderId="75" xfId="1" applyFont="1" applyFill="1" applyBorder="1" applyAlignment="1">
      <alignment horizontal="center" vertical="center"/>
    </xf>
    <xf numFmtId="0" fontId="28" fillId="3" borderId="57" xfId="1" applyFont="1" applyFill="1" applyBorder="1" applyAlignment="1">
      <alignment horizontal="center" vertical="center"/>
    </xf>
    <xf numFmtId="0" fontId="24" fillId="4" borderId="14" xfId="1" applyFont="1" applyFill="1" applyBorder="1" applyAlignment="1">
      <alignment horizontal="center" vertical="center"/>
    </xf>
    <xf numFmtId="0" fontId="24" fillId="5" borderId="14" xfId="1" applyFont="1" applyFill="1" applyBorder="1" applyAlignment="1">
      <alignment horizontal="center" vertical="center"/>
    </xf>
    <xf numFmtId="0" fontId="24" fillId="6" borderId="15" xfId="1" applyFont="1" applyFill="1" applyBorder="1" applyAlignment="1">
      <alignment horizontal="center" vertical="center"/>
    </xf>
    <xf numFmtId="0" fontId="28" fillId="3" borderId="15" xfId="1" applyFont="1" applyFill="1" applyBorder="1" applyAlignment="1">
      <alignment horizontal="center" vertical="center"/>
    </xf>
    <xf numFmtId="0" fontId="28" fillId="3" borderId="76" xfId="1" applyFont="1" applyFill="1" applyBorder="1" applyAlignment="1">
      <alignment horizontal="center" vertical="center"/>
    </xf>
    <xf numFmtId="0" fontId="24" fillId="8" borderId="77" xfId="0" applyFont="1" applyFill="1" applyBorder="1" applyAlignment="1">
      <alignment horizontal="center" vertical="center"/>
    </xf>
    <xf numFmtId="0" fontId="27" fillId="28" borderId="29" xfId="1" applyFont="1" applyFill="1" applyBorder="1" applyAlignment="1">
      <alignment horizontal="center" vertical="center"/>
    </xf>
    <xf numFmtId="0" fontId="27" fillId="28" borderId="49" xfId="1" applyFont="1" applyFill="1" applyBorder="1" applyAlignment="1">
      <alignment horizontal="center" vertical="center"/>
    </xf>
    <xf numFmtId="0" fontId="27" fillId="29" borderId="29" xfId="1" applyFont="1" applyFill="1" applyBorder="1" applyAlignment="1">
      <alignment horizontal="center" vertical="center"/>
    </xf>
    <xf numFmtId="0" fontId="27" fillId="29" borderId="49" xfId="1" applyFont="1" applyFill="1" applyBorder="1" applyAlignment="1">
      <alignment horizontal="center" vertical="center"/>
    </xf>
    <xf numFmtId="0" fontId="27" fillId="28" borderId="7" xfId="1" applyFont="1" applyFill="1" applyBorder="1" applyAlignment="1">
      <alignment horizontal="center" vertical="center"/>
    </xf>
    <xf numFmtId="0" fontId="27" fillId="28" borderId="8" xfId="1" applyFont="1" applyFill="1" applyBorder="1" applyAlignment="1">
      <alignment horizontal="center" vertical="center"/>
    </xf>
    <xf numFmtId="0" fontId="27" fillId="28" borderId="30" xfId="1" applyFont="1" applyFill="1" applyBorder="1" applyAlignment="1">
      <alignment horizontal="center" vertical="center"/>
    </xf>
    <xf numFmtId="0" fontId="27" fillId="28" borderId="9" xfId="1" applyFont="1" applyFill="1" applyBorder="1" applyAlignment="1">
      <alignment horizontal="center" vertical="center"/>
    </xf>
    <xf numFmtId="0" fontId="24" fillId="8" borderId="14" xfId="0" applyFont="1" applyFill="1" applyBorder="1" applyAlignment="1">
      <alignment horizontal="center" vertical="center"/>
    </xf>
    <xf numFmtId="0" fontId="27" fillId="40" borderId="4" xfId="1" applyFont="1" applyFill="1" applyBorder="1" applyAlignment="1">
      <alignment horizontal="center" vertical="center"/>
    </xf>
    <xf numFmtId="0" fontId="27" fillId="40" borderId="5" xfId="1" applyFont="1" applyFill="1" applyBorder="1" applyAlignment="1">
      <alignment horizontal="center" vertical="center"/>
    </xf>
    <xf numFmtId="0" fontId="27" fillId="40" borderId="29" xfId="1" applyFont="1" applyFill="1" applyBorder="1" applyAlignment="1">
      <alignment horizontal="center" vertical="center"/>
    </xf>
    <xf numFmtId="0" fontId="27" fillId="40" borderId="33" xfId="1" applyFont="1" applyFill="1" applyBorder="1" applyAlignment="1">
      <alignment horizontal="center" vertical="center"/>
    </xf>
    <xf numFmtId="0" fontId="27" fillId="40" borderId="34" xfId="1" applyFont="1" applyFill="1" applyBorder="1" applyAlignment="1">
      <alignment horizontal="center" vertical="center"/>
    </xf>
    <xf numFmtId="0" fontId="27" fillId="40" borderId="49" xfId="1" applyFont="1" applyFill="1" applyBorder="1" applyAlignment="1">
      <alignment horizontal="center" vertical="center"/>
    </xf>
    <xf numFmtId="0" fontId="27" fillId="41" borderId="4" xfId="1" applyFont="1" applyFill="1" applyBorder="1" applyAlignment="1">
      <alignment horizontal="center" vertical="center"/>
    </xf>
    <xf numFmtId="0" fontId="27" fillId="41" borderId="5" xfId="1" applyFont="1" applyFill="1" applyBorder="1" applyAlignment="1">
      <alignment horizontal="center" vertical="center"/>
    </xf>
    <xf numFmtId="0" fontId="27" fillId="41" borderId="29" xfId="1" applyFont="1" applyFill="1" applyBorder="1" applyAlignment="1">
      <alignment horizontal="center" vertical="center"/>
    </xf>
    <xf numFmtId="0" fontId="27" fillId="41" borderId="33" xfId="1" applyFont="1" applyFill="1" applyBorder="1" applyAlignment="1">
      <alignment horizontal="center" vertical="center"/>
    </xf>
    <xf numFmtId="0" fontId="27" fillId="41" borderId="34" xfId="1" applyFont="1" applyFill="1" applyBorder="1" applyAlignment="1">
      <alignment horizontal="center" vertical="center"/>
    </xf>
    <xf numFmtId="0" fontId="27" fillId="41" borderId="49" xfId="1" applyFont="1" applyFill="1" applyBorder="1" applyAlignment="1">
      <alignment horizontal="center" vertical="center"/>
    </xf>
    <xf numFmtId="0" fontId="27" fillId="40" borderId="7" xfId="1" applyFont="1" applyFill="1" applyBorder="1" applyAlignment="1">
      <alignment horizontal="center" vertical="center"/>
    </xf>
    <xf numFmtId="0" fontId="27" fillId="40" borderId="8" xfId="1" applyFont="1" applyFill="1" applyBorder="1" applyAlignment="1">
      <alignment horizontal="center" vertical="center"/>
    </xf>
    <xf numFmtId="0" fontId="27" fillId="40" borderId="30" xfId="1" applyFont="1" applyFill="1" applyBorder="1" applyAlignment="1">
      <alignment horizontal="center" vertical="center"/>
    </xf>
    <xf numFmtId="0" fontId="27" fillId="40" borderId="47" xfId="1" applyFont="1" applyFill="1" applyBorder="1" applyAlignment="1">
      <alignment horizontal="center" vertical="center"/>
    </xf>
    <xf numFmtId="0" fontId="27" fillId="40" borderId="14" xfId="1" applyFont="1" applyFill="1" applyBorder="1" applyAlignment="1">
      <alignment horizontal="center" vertical="center"/>
    </xf>
    <xf numFmtId="0" fontId="27" fillId="41" borderId="40" xfId="1" applyFont="1" applyFill="1" applyBorder="1" applyAlignment="1">
      <alignment horizontal="center" vertical="center"/>
    </xf>
    <xf numFmtId="0" fontId="27" fillId="41" borderId="41" xfId="1" applyFont="1" applyFill="1" applyBorder="1" applyAlignment="1">
      <alignment horizontal="center" vertical="center"/>
    </xf>
    <xf numFmtId="0" fontId="27" fillId="40" borderId="1" xfId="1" applyFont="1" applyFill="1" applyBorder="1" applyAlignment="1">
      <alignment horizontal="center" vertical="center"/>
    </xf>
    <xf numFmtId="0" fontId="27" fillId="40" borderId="2" xfId="1" applyFont="1" applyFill="1" applyBorder="1" applyAlignment="1">
      <alignment horizontal="center" vertical="center"/>
    </xf>
    <xf numFmtId="0" fontId="0" fillId="61" borderId="100" xfId="0" applyFill="1" applyBorder="1"/>
    <xf numFmtId="0" fontId="0" fillId="61" borderId="0" xfId="0" applyFill="1"/>
    <xf numFmtId="0" fontId="0" fillId="61" borderId="94" xfId="0" applyFill="1" applyBorder="1"/>
    <xf numFmtId="0" fontId="0" fillId="61" borderId="95" xfId="0" applyFill="1" applyBorder="1"/>
    <xf numFmtId="0" fontId="0" fillId="61" borderId="91" xfId="0" applyFill="1" applyBorder="1"/>
    <xf numFmtId="0" fontId="0" fillId="61" borderId="96" xfId="0" applyFill="1" applyBorder="1"/>
    <xf numFmtId="0" fontId="18" fillId="60" borderId="27" xfId="0" applyFont="1" applyFill="1" applyBorder="1" applyAlignment="1">
      <alignment horizontal="center" vertical="center" shrinkToFit="1"/>
    </xf>
    <xf numFmtId="0" fontId="18" fillId="54" borderId="68" xfId="0" applyFont="1" applyFill="1" applyBorder="1" applyAlignment="1">
      <alignment horizontal="center" vertical="center" shrinkToFit="1"/>
    </xf>
    <xf numFmtId="0" fontId="18" fillId="55" borderId="68" xfId="0" applyFont="1" applyFill="1" applyBorder="1" applyAlignment="1">
      <alignment horizontal="center" vertical="center" shrinkToFit="1"/>
    </xf>
    <xf numFmtId="0" fontId="18" fillId="56" borderId="68" xfId="0" applyFont="1" applyFill="1" applyBorder="1" applyAlignment="1">
      <alignment horizontal="center" vertical="center" shrinkToFit="1"/>
    </xf>
    <xf numFmtId="0" fontId="18" fillId="57" borderId="69" xfId="0" applyFont="1" applyFill="1" applyBorder="1" applyAlignment="1">
      <alignment horizontal="center" vertical="center" shrinkToFit="1"/>
    </xf>
    <xf numFmtId="0" fontId="18" fillId="58" borderId="36" xfId="0" applyFont="1" applyFill="1" applyBorder="1" applyAlignment="1">
      <alignment horizontal="center" vertical="center" shrinkToFit="1"/>
    </xf>
    <xf numFmtId="0" fontId="18" fillId="24" borderId="36" xfId="0" applyFont="1" applyFill="1" applyBorder="1" applyAlignment="1">
      <alignment horizontal="center" vertical="center" shrinkToFit="1"/>
    </xf>
    <xf numFmtId="0" fontId="18" fillId="25" borderId="36" xfId="0" applyFont="1" applyFill="1" applyBorder="1" applyAlignment="1">
      <alignment horizontal="center" vertical="center" shrinkToFit="1"/>
    </xf>
    <xf numFmtId="0" fontId="18" fillId="26" borderId="36" xfId="0" applyFont="1" applyFill="1" applyBorder="1" applyAlignment="1">
      <alignment horizontal="center" vertical="center" shrinkToFit="1"/>
    </xf>
    <xf numFmtId="0" fontId="18" fillId="59" borderId="36" xfId="0" applyFont="1" applyFill="1" applyBorder="1" applyAlignment="1">
      <alignment horizontal="center" vertical="center" shrinkToFit="1"/>
    </xf>
    <xf numFmtId="0" fontId="3" fillId="40" borderId="68" xfId="1" applyFill="1" applyBorder="1" applyAlignment="1">
      <alignment horizontal="center" vertical="center"/>
    </xf>
    <xf numFmtId="0" fontId="3" fillId="34" borderId="69" xfId="1" applyFill="1" applyBorder="1" applyAlignment="1">
      <alignment horizontal="center" vertical="center"/>
    </xf>
    <xf numFmtId="0" fontId="3" fillId="20" borderId="39" xfId="1" applyFill="1" applyBorder="1" applyAlignment="1">
      <alignment horizontal="center" vertical="center"/>
    </xf>
    <xf numFmtId="0" fontId="3" fillId="21" borderId="45" xfId="1" applyFill="1" applyBorder="1" applyAlignment="1">
      <alignment horizontal="center" vertical="center"/>
    </xf>
    <xf numFmtId="0" fontId="3" fillId="33" borderId="74" xfId="1" applyFill="1" applyBorder="1" applyAlignment="1">
      <alignment horizontal="center" vertical="center"/>
    </xf>
    <xf numFmtId="0" fontId="18" fillId="53" borderId="103" xfId="0" applyFont="1" applyFill="1" applyBorder="1" applyAlignment="1">
      <alignment horizontal="center" vertical="center" shrinkToFit="1"/>
    </xf>
    <xf numFmtId="0" fontId="18" fillId="57" borderId="104" xfId="0" applyFont="1" applyFill="1" applyBorder="1" applyAlignment="1">
      <alignment horizontal="center" vertical="center" shrinkToFit="1"/>
    </xf>
    <xf numFmtId="0" fontId="3" fillId="34" borderId="31" xfId="1" applyFill="1" applyBorder="1" applyAlignment="1">
      <alignment horizontal="center" vertical="center"/>
    </xf>
    <xf numFmtId="0" fontId="3" fillId="35" borderId="31" xfId="1" applyFill="1" applyBorder="1" applyAlignment="1">
      <alignment horizontal="center" vertical="center"/>
    </xf>
    <xf numFmtId="0" fontId="3" fillId="36" borderId="31" xfId="1" applyFill="1" applyBorder="1" applyAlignment="1">
      <alignment horizontal="center" vertical="center"/>
    </xf>
    <xf numFmtId="0" fontId="3" fillId="37" borderId="31" xfId="1" applyFill="1" applyBorder="1" applyAlignment="1">
      <alignment horizontal="center" vertical="center"/>
    </xf>
    <xf numFmtId="0" fontId="3" fillId="38" borderId="31" xfId="1" applyFill="1" applyBorder="1" applyAlignment="1">
      <alignment horizontal="center" vertical="center"/>
    </xf>
    <xf numFmtId="0" fontId="3" fillId="34" borderId="68" xfId="1" applyFill="1" applyBorder="1" applyAlignment="1">
      <alignment horizontal="center" vertical="center"/>
    </xf>
    <xf numFmtId="0" fontId="3" fillId="20" borderId="70" xfId="1" applyFill="1" applyBorder="1" applyAlignment="1">
      <alignment horizontal="center" vertical="center"/>
    </xf>
    <xf numFmtId="0" fontId="3" fillId="21" borderId="72" xfId="1" applyFill="1" applyBorder="1" applyAlignment="1">
      <alignment horizontal="center" vertical="center"/>
    </xf>
    <xf numFmtId="0" fontId="3" fillId="39" borderId="73" xfId="1" applyFill="1" applyBorder="1" applyAlignment="1">
      <alignment horizontal="center" vertical="center"/>
    </xf>
    <xf numFmtId="0" fontId="18" fillId="53" borderId="104" xfId="0" applyFont="1" applyFill="1" applyBorder="1" applyAlignment="1">
      <alignment horizontal="center" vertical="center" shrinkToFit="1"/>
    </xf>
    <xf numFmtId="0" fontId="18" fillId="54" borderId="103" xfId="0" applyFont="1" applyFill="1" applyBorder="1" applyAlignment="1">
      <alignment horizontal="center" vertical="center" shrinkToFit="1"/>
    </xf>
    <xf numFmtId="0" fontId="18" fillId="54" borderId="104" xfId="0" applyFont="1" applyFill="1" applyBorder="1" applyAlignment="1">
      <alignment horizontal="center" vertical="center" shrinkToFit="1"/>
    </xf>
    <xf numFmtId="0" fontId="18" fillId="55" borderId="103" xfId="0" applyFont="1" applyFill="1" applyBorder="1" applyAlignment="1">
      <alignment horizontal="center" vertical="center" shrinkToFit="1"/>
    </xf>
    <xf numFmtId="0" fontId="18" fillId="55" borderId="104" xfId="0" applyFont="1" applyFill="1" applyBorder="1" applyAlignment="1">
      <alignment horizontal="center" vertical="center" shrinkToFit="1"/>
    </xf>
    <xf numFmtId="0" fontId="18" fillId="57" borderId="61" xfId="0" applyFont="1" applyFill="1" applyBorder="1" applyAlignment="1">
      <alignment horizontal="center" vertical="center" shrinkToFit="1"/>
    </xf>
    <xf numFmtId="0" fontId="18" fillId="56" borderId="103" xfId="0" applyFont="1" applyFill="1" applyBorder="1" applyAlignment="1">
      <alignment horizontal="center" vertical="center" shrinkToFit="1"/>
    </xf>
    <xf numFmtId="0" fontId="18" fillId="56" borderId="104" xfId="0" applyFont="1" applyFill="1" applyBorder="1" applyAlignment="1">
      <alignment horizontal="center" vertical="center" shrinkToFit="1"/>
    </xf>
    <xf numFmtId="0" fontId="24" fillId="61" borderId="0" xfId="1" applyFont="1" applyFill="1" applyAlignment="1">
      <alignment horizontal="center" vertical="center"/>
    </xf>
    <xf numFmtId="0" fontId="0" fillId="7" borderId="28" xfId="0" applyFill="1" applyBorder="1" applyAlignment="1">
      <alignment horizontal="center"/>
    </xf>
    <xf numFmtId="0" fontId="0" fillId="61" borderId="0" xfId="0" applyFill="1" applyAlignment="1">
      <alignment horizontal="center"/>
    </xf>
    <xf numFmtId="0" fontId="0" fillId="7" borderId="51" xfId="0" applyFill="1" applyBorder="1" applyAlignment="1">
      <alignment horizontal="center"/>
    </xf>
    <xf numFmtId="0" fontId="0" fillId="7" borderId="19" xfId="0" applyFill="1" applyBorder="1" applyAlignment="1">
      <alignment horizontal="center"/>
    </xf>
    <xf numFmtId="0" fontId="18" fillId="53" borderId="72" xfId="0" applyFont="1" applyFill="1" applyBorder="1" applyAlignment="1">
      <alignment horizontal="center" shrinkToFit="1"/>
    </xf>
    <xf numFmtId="0" fontId="18" fillId="54" borderId="73" xfId="0" applyFont="1" applyFill="1" applyBorder="1" applyAlignment="1">
      <alignment horizontal="center" shrinkToFit="1"/>
    </xf>
    <xf numFmtId="0" fontId="18" fillId="55" borderId="73" xfId="0" applyFont="1" applyFill="1" applyBorder="1" applyAlignment="1">
      <alignment horizontal="center" shrinkToFit="1"/>
    </xf>
    <xf numFmtId="0" fontId="18" fillId="56" borderId="73" xfId="0" applyFont="1" applyFill="1" applyBorder="1" applyAlignment="1">
      <alignment horizontal="center" shrinkToFit="1"/>
    </xf>
    <xf numFmtId="0" fontId="18" fillId="57" borderId="74" xfId="0" applyFont="1" applyFill="1" applyBorder="1" applyAlignment="1">
      <alignment horizontal="center" shrinkToFit="1"/>
    </xf>
    <xf numFmtId="0" fontId="18" fillId="53" borderId="90" xfId="0" applyFont="1" applyFill="1" applyBorder="1" applyAlignment="1">
      <alignment horizontal="center" shrinkToFit="1"/>
    </xf>
    <xf numFmtId="0" fontId="3" fillId="16" borderId="59" xfId="1" applyFill="1" applyBorder="1" applyAlignment="1">
      <alignment horizontal="center" vertical="center"/>
    </xf>
    <xf numFmtId="0" fontId="3" fillId="12" borderId="68" xfId="1" applyFill="1" applyBorder="1" applyAlignment="1">
      <alignment horizontal="center" vertical="center"/>
    </xf>
    <xf numFmtId="0" fontId="0" fillId="28" borderId="69" xfId="0" applyFill="1" applyBorder="1" applyAlignment="1">
      <alignment horizontal="center"/>
    </xf>
    <xf numFmtId="0" fontId="0" fillId="2" borderId="0" xfId="0" applyFill="1" applyAlignment="1">
      <alignment horizontal="center"/>
    </xf>
    <xf numFmtId="0" fontId="3" fillId="17" borderId="39" xfId="1" applyFill="1" applyBorder="1" applyAlignment="1">
      <alignment horizontal="center" vertical="center"/>
    </xf>
    <xf numFmtId="0" fontId="3" fillId="10" borderId="31" xfId="1" applyFill="1" applyBorder="1" applyAlignment="1">
      <alignment horizontal="center" vertical="center"/>
    </xf>
    <xf numFmtId="0" fontId="0" fillId="29" borderId="71" xfId="0" applyFill="1" applyBorder="1" applyAlignment="1">
      <alignment horizontal="center"/>
    </xf>
    <xf numFmtId="0" fontId="3" fillId="18" borderId="39" xfId="1" applyFill="1" applyBorder="1" applyAlignment="1">
      <alignment horizontal="center" vertical="center"/>
    </xf>
    <xf numFmtId="0" fontId="3" fillId="11" borderId="31" xfId="1" applyFill="1" applyBorder="1" applyAlignment="1">
      <alignment horizontal="center" vertical="center"/>
    </xf>
    <xf numFmtId="0" fontId="0" fillId="30" borderId="71" xfId="0" applyFill="1" applyBorder="1" applyAlignment="1">
      <alignment horizontal="center"/>
    </xf>
    <xf numFmtId="0" fontId="3" fillId="19" borderId="39" xfId="1" applyFill="1" applyBorder="1" applyAlignment="1">
      <alignment horizontal="center" vertical="center"/>
    </xf>
    <xf numFmtId="0" fontId="3" fillId="13" borderId="31" xfId="1" applyFill="1" applyBorder="1" applyAlignment="1">
      <alignment horizontal="center" vertical="center"/>
    </xf>
    <xf numFmtId="0" fontId="0" fillId="31" borderId="71" xfId="0" applyFill="1" applyBorder="1" applyAlignment="1">
      <alignment horizontal="center"/>
    </xf>
    <xf numFmtId="0" fontId="0" fillId="2" borderId="100" xfId="0" applyFill="1" applyBorder="1" applyAlignment="1">
      <alignment horizontal="center"/>
    </xf>
    <xf numFmtId="0" fontId="0" fillId="61" borderId="100" xfId="0" applyFill="1" applyBorder="1" applyAlignment="1">
      <alignment horizontal="center"/>
    </xf>
    <xf numFmtId="0" fontId="3" fillId="16" borderId="67" xfId="1" applyFill="1" applyBorder="1" applyAlignment="1">
      <alignment horizontal="center" vertical="center"/>
    </xf>
    <xf numFmtId="0" fontId="3" fillId="17" borderId="70" xfId="1" applyFill="1" applyBorder="1" applyAlignment="1">
      <alignment horizontal="center" vertical="center"/>
    </xf>
    <xf numFmtId="0" fontId="3" fillId="18" borderId="70" xfId="1" applyFill="1" applyBorder="1" applyAlignment="1">
      <alignment horizontal="center" vertical="center"/>
    </xf>
    <xf numFmtId="0" fontId="3" fillId="19" borderId="70" xfId="1" applyFill="1" applyBorder="1" applyAlignment="1">
      <alignment horizontal="center" vertical="center"/>
    </xf>
    <xf numFmtId="0" fontId="3" fillId="16" borderId="31" xfId="1" applyFill="1" applyBorder="1" applyAlignment="1">
      <alignment horizontal="center" vertical="center"/>
    </xf>
    <xf numFmtId="0" fontId="3" fillId="12" borderId="31" xfId="1" applyFill="1" applyBorder="1" applyAlignment="1">
      <alignment horizontal="center" vertical="center"/>
    </xf>
    <xf numFmtId="0" fontId="0" fillId="28" borderId="31" xfId="0" applyFill="1" applyBorder="1" applyAlignment="1">
      <alignment horizontal="center"/>
    </xf>
    <xf numFmtId="0" fontId="3" fillId="17" borderId="31" xfId="1" applyFill="1" applyBorder="1" applyAlignment="1">
      <alignment horizontal="center" vertical="center"/>
    </xf>
    <xf numFmtId="0" fontId="0" fillId="29" borderId="31" xfId="0" applyFill="1" applyBorder="1" applyAlignment="1">
      <alignment horizontal="center"/>
    </xf>
    <xf numFmtId="0" fontId="3" fillId="18" borderId="31" xfId="1" applyFill="1" applyBorder="1" applyAlignment="1">
      <alignment horizontal="center" vertical="center"/>
    </xf>
    <xf numFmtId="0" fontId="0" fillId="30" borderId="31" xfId="0" applyFill="1" applyBorder="1" applyAlignment="1">
      <alignment horizontal="center"/>
    </xf>
    <xf numFmtId="0" fontId="3" fillId="19" borderId="31" xfId="1" applyFill="1" applyBorder="1" applyAlignment="1">
      <alignment horizontal="center" vertical="center"/>
    </xf>
    <xf numFmtId="0" fontId="0" fillId="31" borderId="31" xfId="0" applyFill="1" applyBorder="1" applyAlignment="1">
      <alignment horizontal="center"/>
    </xf>
    <xf numFmtId="0" fontId="3" fillId="16" borderId="68" xfId="1" applyFill="1" applyBorder="1" applyAlignment="1">
      <alignment horizontal="center" vertical="center"/>
    </xf>
    <xf numFmtId="0" fontId="0" fillId="28" borderId="68" xfId="0" applyFill="1" applyBorder="1" applyAlignment="1">
      <alignment horizontal="center"/>
    </xf>
    <xf numFmtId="0" fontId="3" fillId="16" borderId="70" xfId="1" applyFill="1" applyBorder="1" applyAlignment="1">
      <alignment horizontal="center" vertical="center"/>
    </xf>
    <xf numFmtId="0" fontId="3" fillId="21" borderId="70" xfId="1" applyFill="1" applyBorder="1" applyAlignment="1">
      <alignment horizontal="center" vertical="center"/>
    </xf>
    <xf numFmtId="0" fontId="3" fillId="17" borderId="86" xfId="1" applyFill="1" applyBorder="1" applyAlignment="1">
      <alignment horizontal="center" vertical="center"/>
    </xf>
    <xf numFmtId="0" fontId="3" fillId="35" borderId="87" xfId="1" applyFill="1" applyBorder="1" applyAlignment="1">
      <alignment horizontal="center" vertical="center"/>
    </xf>
    <xf numFmtId="0" fontId="3" fillId="16" borderId="105" xfId="1" applyFill="1" applyBorder="1" applyAlignment="1">
      <alignment horizontal="center" vertical="center"/>
    </xf>
    <xf numFmtId="0" fontId="3" fillId="34" borderId="106" xfId="1" applyFill="1" applyBorder="1" applyAlignment="1">
      <alignment horizontal="center" vertical="center"/>
    </xf>
    <xf numFmtId="0" fontId="3" fillId="18" borderId="86" xfId="1" applyFill="1" applyBorder="1" applyAlignment="1">
      <alignment horizontal="center" vertical="center"/>
    </xf>
    <xf numFmtId="0" fontId="3" fillId="36" borderId="87" xfId="1" applyFill="1" applyBorder="1" applyAlignment="1">
      <alignment horizontal="center" vertical="center"/>
    </xf>
    <xf numFmtId="0" fontId="3" fillId="17" borderId="105" xfId="1" applyFill="1" applyBorder="1" applyAlignment="1">
      <alignment horizontal="center" vertical="center"/>
    </xf>
    <xf numFmtId="0" fontId="3" fillId="35" borderId="106" xfId="1" applyFill="1" applyBorder="1" applyAlignment="1">
      <alignment horizontal="center" vertical="center"/>
    </xf>
    <xf numFmtId="0" fontId="3" fillId="19" borderId="86" xfId="1" applyFill="1" applyBorder="1" applyAlignment="1">
      <alignment horizontal="center" vertical="center"/>
    </xf>
    <xf numFmtId="0" fontId="3" fillId="37" borderId="87" xfId="1" applyFill="1" applyBorder="1" applyAlignment="1">
      <alignment horizontal="center" vertical="center"/>
    </xf>
    <xf numFmtId="0" fontId="3" fillId="18" borderId="105" xfId="1" applyFill="1" applyBorder="1" applyAlignment="1">
      <alignment horizontal="center" vertical="center"/>
    </xf>
    <xf numFmtId="0" fontId="3" fillId="36" borderId="106" xfId="1" applyFill="1" applyBorder="1" applyAlignment="1">
      <alignment horizontal="center" vertical="center"/>
    </xf>
    <xf numFmtId="0" fontId="3" fillId="20" borderId="86" xfId="1" applyFill="1" applyBorder="1" applyAlignment="1">
      <alignment horizontal="center" vertical="center"/>
    </xf>
    <xf numFmtId="0" fontId="3" fillId="38" borderId="87" xfId="1" applyFill="1" applyBorder="1" applyAlignment="1">
      <alignment horizontal="center" vertical="center"/>
    </xf>
    <xf numFmtId="0" fontId="3" fillId="19" borderId="105" xfId="1" applyFill="1" applyBorder="1" applyAlignment="1">
      <alignment horizontal="center" vertical="center"/>
    </xf>
    <xf numFmtId="0" fontId="3" fillId="37" borderId="106" xfId="1" applyFill="1" applyBorder="1" applyAlignment="1">
      <alignment horizontal="center" vertical="center"/>
    </xf>
    <xf numFmtId="0" fontId="3" fillId="21" borderId="86" xfId="1" applyFill="1" applyBorder="1" applyAlignment="1">
      <alignment horizontal="center" vertical="center"/>
    </xf>
    <xf numFmtId="0" fontId="3" fillId="39" borderId="87" xfId="1" applyFill="1" applyBorder="1" applyAlignment="1">
      <alignment horizontal="center" vertical="center"/>
    </xf>
    <xf numFmtId="0" fontId="3" fillId="20" borderId="105" xfId="1" applyFill="1" applyBorder="1" applyAlignment="1">
      <alignment horizontal="center" vertical="center"/>
    </xf>
    <xf numFmtId="0" fontId="3" fillId="38" borderId="106" xfId="1" applyFill="1" applyBorder="1" applyAlignment="1">
      <alignment horizontal="center" vertical="center"/>
    </xf>
    <xf numFmtId="0" fontId="0" fillId="32" borderId="31" xfId="0" applyFill="1" applyBorder="1" applyAlignment="1">
      <alignment horizontal="center"/>
    </xf>
    <xf numFmtId="0" fontId="0" fillId="33" borderId="31" xfId="0" applyFill="1" applyBorder="1" applyAlignment="1">
      <alignment horizontal="center"/>
    </xf>
    <xf numFmtId="0" fontId="0" fillId="33" borderId="73" xfId="0" applyFill="1" applyBorder="1" applyAlignment="1">
      <alignment horizontal="center"/>
    </xf>
    <xf numFmtId="0" fontId="3" fillId="17" borderId="83" xfId="1" applyFill="1" applyBorder="1" applyAlignment="1">
      <alignment horizontal="center" vertical="center"/>
    </xf>
    <xf numFmtId="0" fontId="3" fillId="10" borderId="83" xfId="1" applyFill="1" applyBorder="1" applyAlignment="1">
      <alignment horizontal="center" vertical="center"/>
    </xf>
    <xf numFmtId="0" fontId="0" fillId="29" borderId="83" xfId="0" applyFill="1" applyBorder="1" applyAlignment="1">
      <alignment horizontal="center"/>
    </xf>
    <xf numFmtId="0" fontId="3" fillId="41" borderId="83" xfId="1" applyFill="1" applyBorder="1" applyAlignment="1">
      <alignment horizontal="center" vertical="center"/>
    </xf>
    <xf numFmtId="0" fontId="3" fillId="35" borderId="83" xfId="1" applyFill="1" applyBorder="1" applyAlignment="1">
      <alignment horizontal="center" vertical="center"/>
    </xf>
    <xf numFmtId="0" fontId="3" fillId="16" borderId="109" xfId="1" applyFill="1" applyBorder="1" applyAlignment="1">
      <alignment horizontal="center" vertical="center"/>
    </xf>
    <xf numFmtId="0" fontId="3" fillId="12" borderId="109" xfId="1" applyFill="1" applyBorder="1" applyAlignment="1">
      <alignment horizontal="center" vertical="center"/>
    </xf>
    <xf numFmtId="0" fontId="0" fillId="28" borderId="109" xfId="0" applyFill="1" applyBorder="1" applyAlignment="1">
      <alignment horizontal="center"/>
    </xf>
    <xf numFmtId="0" fontId="3" fillId="40" borderId="109" xfId="1" applyFill="1" applyBorder="1" applyAlignment="1">
      <alignment horizontal="center" vertical="center"/>
    </xf>
    <xf numFmtId="0" fontId="3" fillId="34" borderId="109" xfId="1" applyFill="1" applyBorder="1" applyAlignment="1">
      <alignment horizontal="center" vertical="center"/>
    </xf>
    <xf numFmtId="0" fontId="3" fillId="18" borderId="83" xfId="1" applyFill="1" applyBorder="1" applyAlignment="1">
      <alignment horizontal="center" vertical="center"/>
    </xf>
    <xf numFmtId="0" fontId="3" fillId="11" borderId="83" xfId="1" applyFill="1" applyBorder="1" applyAlignment="1">
      <alignment horizontal="center" vertical="center"/>
    </xf>
    <xf numFmtId="0" fontId="0" fillId="30" borderId="83" xfId="0" applyFill="1" applyBorder="1" applyAlignment="1">
      <alignment horizontal="center"/>
    </xf>
    <xf numFmtId="0" fontId="3" fillId="42" borderId="83" xfId="1" applyFill="1" applyBorder="1" applyAlignment="1">
      <alignment horizontal="center" vertical="center"/>
    </xf>
    <xf numFmtId="0" fontId="3" fillId="36" borderId="83" xfId="1" applyFill="1" applyBorder="1" applyAlignment="1">
      <alignment horizontal="center" vertical="center"/>
    </xf>
    <xf numFmtId="0" fontId="3" fillId="17" borderId="109" xfId="1" applyFill="1" applyBorder="1" applyAlignment="1">
      <alignment horizontal="center" vertical="center"/>
    </xf>
    <xf numFmtId="0" fontId="3" fillId="10" borderId="109" xfId="1" applyFill="1" applyBorder="1" applyAlignment="1">
      <alignment horizontal="center" vertical="center"/>
    </xf>
    <xf numFmtId="0" fontId="0" fillId="29" borderId="109" xfId="0" applyFill="1" applyBorder="1" applyAlignment="1">
      <alignment horizontal="center"/>
    </xf>
    <xf numFmtId="0" fontId="3" fillId="41" borderId="109" xfId="1" applyFill="1" applyBorder="1" applyAlignment="1">
      <alignment horizontal="center" vertical="center"/>
    </xf>
    <xf numFmtId="0" fontId="3" fillId="35" borderId="109" xfId="1" applyFill="1" applyBorder="1" applyAlignment="1">
      <alignment horizontal="center" vertical="center"/>
    </xf>
    <xf numFmtId="0" fontId="3" fillId="19" borderId="83" xfId="1" applyFill="1" applyBorder="1" applyAlignment="1">
      <alignment horizontal="center" vertical="center"/>
    </xf>
    <xf numFmtId="0" fontId="3" fillId="13" borderId="83" xfId="1" applyFill="1" applyBorder="1" applyAlignment="1">
      <alignment horizontal="center" vertical="center"/>
    </xf>
    <xf numFmtId="0" fontId="0" fillId="31" borderId="83" xfId="0" applyFill="1" applyBorder="1" applyAlignment="1">
      <alignment horizontal="center"/>
    </xf>
    <xf numFmtId="0" fontId="3" fillId="43" borderId="83" xfId="1" applyFill="1" applyBorder="1" applyAlignment="1">
      <alignment horizontal="center" vertical="center"/>
    </xf>
    <xf numFmtId="0" fontId="3" fillId="37" borderId="83" xfId="1" applyFill="1" applyBorder="1" applyAlignment="1">
      <alignment horizontal="center" vertical="center"/>
    </xf>
    <xf numFmtId="0" fontId="3" fillId="18" borderId="109" xfId="1" applyFill="1" applyBorder="1" applyAlignment="1">
      <alignment horizontal="center" vertical="center"/>
    </xf>
    <xf numFmtId="0" fontId="3" fillId="11" borderId="109" xfId="1" applyFill="1" applyBorder="1" applyAlignment="1">
      <alignment horizontal="center" vertical="center"/>
    </xf>
    <xf numFmtId="0" fontId="0" fillId="30" borderId="109" xfId="0" applyFill="1" applyBorder="1" applyAlignment="1">
      <alignment horizontal="center"/>
    </xf>
    <xf numFmtId="0" fontId="3" fillId="42" borderId="109" xfId="1" applyFill="1" applyBorder="1" applyAlignment="1">
      <alignment horizontal="center" vertical="center"/>
    </xf>
    <xf numFmtId="0" fontId="3" fillId="36" borderId="109" xfId="1" applyFill="1" applyBorder="1" applyAlignment="1">
      <alignment horizontal="center" vertical="center"/>
    </xf>
    <xf numFmtId="0" fontId="3" fillId="20" borderId="83" xfId="1" applyFill="1" applyBorder="1" applyAlignment="1">
      <alignment horizontal="center" vertical="center"/>
    </xf>
    <xf numFmtId="0" fontId="3" fillId="14" borderId="83" xfId="1" applyFill="1" applyBorder="1" applyAlignment="1">
      <alignment horizontal="center" vertical="center"/>
    </xf>
    <xf numFmtId="0" fontId="0" fillId="32" borderId="83" xfId="0" applyFill="1" applyBorder="1" applyAlignment="1">
      <alignment horizontal="center"/>
    </xf>
    <xf numFmtId="0" fontId="3" fillId="32" borderId="83" xfId="1" applyFill="1" applyBorder="1" applyAlignment="1">
      <alignment horizontal="center" vertical="center"/>
    </xf>
    <xf numFmtId="0" fontId="3" fillId="44" borderId="83" xfId="1" applyFill="1" applyBorder="1" applyAlignment="1">
      <alignment horizontal="center" vertical="center"/>
    </xf>
    <xf numFmtId="0" fontId="3" fillId="38" borderId="83" xfId="1" applyFill="1" applyBorder="1" applyAlignment="1">
      <alignment horizontal="center" vertical="center"/>
    </xf>
    <xf numFmtId="0" fontId="3" fillId="19" borderId="109" xfId="1" applyFill="1" applyBorder="1" applyAlignment="1">
      <alignment horizontal="center" vertical="center"/>
    </xf>
    <xf numFmtId="0" fontId="3" fillId="13" borderId="109" xfId="1" applyFill="1" applyBorder="1" applyAlignment="1">
      <alignment horizontal="center" vertical="center"/>
    </xf>
    <xf numFmtId="0" fontId="0" fillId="31" borderId="109" xfId="0" applyFill="1" applyBorder="1" applyAlignment="1">
      <alignment horizontal="center"/>
    </xf>
    <xf numFmtId="0" fontId="3" fillId="43" borderId="109" xfId="1" applyFill="1" applyBorder="1" applyAlignment="1">
      <alignment horizontal="center" vertical="center"/>
    </xf>
    <xf numFmtId="0" fontId="3" fillId="37" borderId="109" xfId="1" applyFill="1" applyBorder="1" applyAlignment="1">
      <alignment horizontal="center" vertical="center"/>
    </xf>
    <xf numFmtId="0" fontId="3" fillId="20" borderId="109" xfId="1" applyFill="1" applyBorder="1" applyAlignment="1">
      <alignment horizontal="center" vertical="center"/>
    </xf>
    <xf numFmtId="0" fontId="3" fillId="14" borderId="109" xfId="1" applyFill="1" applyBorder="1" applyAlignment="1">
      <alignment horizontal="center" vertical="center"/>
    </xf>
    <xf numFmtId="0" fontId="0" fillId="32" borderId="109" xfId="0" applyFill="1" applyBorder="1" applyAlignment="1">
      <alignment horizontal="center"/>
    </xf>
    <xf numFmtId="0" fontId="3" fillId="32" borderId="109" xfId="1" applyFill="1" applyBorder="1" applyAlignment="1">
      <alignment horizontal="center" vertical="center"/>
    </xf>
    <xf numFmtId="0" fontId="3" fillId="44" borderId="109" xfId="1" applyFill="1" applyBorder="1" applyAlignment="1">
      <alignment horizontal="center" vertical="center"/>
    </xf>
    <xf numFmtId="0" fontId="3" fillId="38" borderId="109" xfId="1" applyFill="1" applyBorder="1" applyAlignment="1">
      <alignment horizontal="center" vertical="center"/>
    </xf>
    <xf numFmtId="0" fontId="3" fillId="21" borderId="83" xfId="1" applyFill="1" applyBorder="1" applyAlignment="1">
      <alignment horizontal="center" vertical="center"/>
    </xf>
    <xf numFmtId="0" fontId="3" fillId="15" borderId="83" xfId="1" applyFill="1" applyBorder="1" applyAlignment="1">
      <alignment horizontal="center" vertical="center"/>
    </xf>
    <xf numFmtId="0" fontId="0" fillId="33" borderId="83" xfId="0" applyFill="1" applyBorder="1" applyAlignment="1">
      <alignment horizontal="center"/>
    </xf>
    <xf numFmtId="0" fontId="3" fillId="33" borderId="83" xfId="1" applyFill="1" applyBorder="1" applyAlignment="1">
      <alignment horizontal="center" vertical="center"/>
    </xf>
    <xf numFmtId="0" fontId="3" fillId="45" borderId="83" xfId="1" applyFill="1" applyBorder="1" applyAlignment="1">
      <alignment horizontal="center" vertical="center"/>
    </xf>
    <xf numFmtId="0" fontId="3" fillId="39" borderId="83" xfId="1" applyFill="1" applyBorder="1" applyAlignment="1">
      <alignment horizontal="center" vertical="center"/>
    </xf>
    <xf numFmtId="0" fontId="0" fillId="17" borderId="72" xfId="0" applyFill="1" applyBorder="1" applyAlignment="1">
      <alignment horizontal="center" vertical="center"/>
    </xf>
    <xf numFmtId="0" fontId="2" fillId="0" borderId="0" xfId="0" applyFont="1" applyAlignment="1">
      <alignment horizontal="center" vertical="center" shrinkToFit="1"/>
    </xf>
    <xf numFmtId="0" fontId="3" fillId="0" borderId="0" xfId="1" applyAlignment="1">
      <alignment vertical="center"/>
    </xf>
    <xf numFmtId="0" fontId="8" fillId="0" borderId="0" xfId="1" applyFont="1" applyAlignment="1">
      <alignment horizontal="center" vertical="center" shrinkToFit="1"/>
    </xf>
    <xf numFmtId="0" fontId="2" fillId="0" borderId="0" xfId="0" applyFont="1" applyAlignment="1">
      <alignment horizontal="center" vertical="center"/>
    </xf>
    <xf numFmtId="0" fontId="0" fillId="16" borderId="70" xfId="0" applyFill="1" applyBorder="1" applyAlignment="1">
      <alignment horizontal="center" vertical="center"/>
    </xf>
    <xf numFmtId="0" fontId="0" fillId="10" borderId="72" xfId="0" applyFill="1" applyBorder="1" applyAlignment="1">
      <alignment horizontal="center" vertical="center"/>
    </xf>
    <xf numFmtId="0" fontId="1" fillId="29" borderId="72" xfId="0" applyFont="1" applyFill="1" applyBorder="1" applyAlignment="1">
      <alignment horizontal="center" vertical="center"/>
    </xf>
    <xf numFmtId="0" fontId="0" fillId="41" borderId="72" xfId="0" applyFill="1" applyBorder="1" applyAlignment="1">
      <alignment horizontal="center" vertical="center"/>
    </xf>
    <xf numFmtId="0" fontId="5" fillId="0" borderId="67" xfId="1" applyFont="1" applyBorder="1" applyAlignment="1">
      <alignment horizontal="center" vertical="center"/>
    </xf>
    <xf numFmtId="0" fontId="2" fillId="0" borderId="68" xfId="0" applyFont="1" applyBorder="1" applyAlignment="1">
      <alignment horizontal="center" vertical="center" shrinkToFit="1"/>
    </xf>
    <xf numFmtId="0" fontId="8" fillId="0" borderId="68" xfId="1" applyFont="1" applyBorder="1" applyAlignment="1">
      <alignment horizontal="center" vertical="center"/>
    </xf>
    <xf numFmtId="0" fontId="8" fillId="0" borderId="69" xfId="1" applyFont="1" applyBorder="1" applyAlignment="1">
      <alignment horizontal="center" vertical="center"/>
    </xf>
    <xf numFmtId="0" fontId="2" fillId="0" borderId="70" xfId="0" applyFont="1" applyBorder="1" applyAlignment="1">
      <alignment horizontal="center" vertical="center" shrinkToFit="1"/>
    </xf>
    <xf numFmtId="0" fontId="8" fillId="0" borderId="70" xfId="1" applyFont="1" applyBorder="1" applyAlignment="1">
      <alignment horizontal="center" vertical="center" shrinkToFit="1"/>
    </xf>
    <xf numFmtId="0" fontId="8" fillId="0" borderId="72" xfId="1" applyFont="1" applyBorder="1" applyAlignment="1">
      <alignment horizontal="center" vertical="center" shrinkToFit="1"/>
    </xf>
    <xf numFmtId="0" fontId="3" fillId="12" borderId="31" xfId="1" applyFill="1" applyBorder="1" applyAlignment="1">
      <alignment vertical="center"/>
    </xf>
    <xf numFmtId="0" fontId="3" fillId="10" borderId="31" xfId="1" applyFill="1" applyBorder="1" applyAlignment="1">
      <alignment vertical="center"/>
    </xf>
    <xf numFmtId="0" fontId="3" fillId="11" borderId="31" xfId="1" applyFill="1" applyBorder="1" applyAlignment="1">
      <alignment vertical="center"/>
    </xf>
    <xf numFmtId="0" fontId="3" fillId="13" borderId="31" xfId="1" applyFill="1" applyBorder="1" applyAlignment="1">
      <alignment vertical="center"/>
    </xf>
    <xf numFmtId="0" fontId="0" fillId="22" borderId="31" xfId="0" applyFill="1" applyBorder="1"/>
    <xf numFmtId="0" fontId="0" fillId="23" borderId="31" xfId="0" applyFill="1" applyBorder="1"/>
    <xf numFmtId="0" fontId="0" fillId="24" borderId="31" xfId="0" applyFill="1" applyBorder="1"/>
    <xf numFmtId="0" fontId="0" fillId="25" borderId="31" xfId="0" applyFill="1" applyBorder="1"/>
    <xf numFmtId="0" fontId="0" fillId="26" borderId="31" xfId="0" applyFill="1" applyBorder="1"/>
    <xf numFmtId="0" fontId="0" fillId="27" borderId="31" xfId="0" applyFill="1" applyBorder="1"/>
    <xf numFmtId="0" fontId="3" fillId="16" borderId="71" xfId="1" applyFill="1" applyBorder="1" applyAlignment="1">
      <alignment vertical="center"/>
    </xf>
    <xf numFmtId="0" fontId="3" fillId="17" borderId="71" xfId="1" applyFill="1" applyBorder="1" applyAlignment="1">
      <alignment vertical="center"/>
    </xf>
    <xf numFmtId="0" fontId="3" fillId="18" borderId="71" xfId="1" applyFill="1" applyBorder="1" applyAlignment="1">
      <alignment vertical="center"/>
    </xf>
    <xf numFmtId="0" fontId="3" fillId="19" borderId="71" xfId="1" applyFill="1" applyBorder="1" applyAlignment="1">
      <alignment vertical="center"/>
    </xf>
    <xf numFmtId="0" fontId="3" fillId="20" borderId="71" xfId="1" applyFill="1" applyBorder="1" applyAlignment="1">
      <alignment horizontal="center" vertical="center"/>
    </xf>
    <xf numFmtId="0" fontId="3" fillId="21" borderId="71" xfId="1" applyFill="1" applyBorder="1" applyAlignment="1">
      <alignment horizontal="center" vertical="center"/>
    </xf>
    <xf numFmtId="0" fontId="0" fillId="0" borderId="51" xfId="0" applyBorder="1"/>
    <xf numFmtId="0" fontId="2" fillId="0" borderId="69" xfId="0" applyFont="1" applyBorder="1" applyAlignment="1">
      <alignment horizontal="center" vertical="center"/>
    </xf>
    <xf numFmtId="0" fontId="0" fillId="28" borderId="71" xfId="0" applyFill="1" applyBorder="1"/>
    <xf numFmtId="0" fontId="0" fillId="29" borderId="71" xfId="0" applyFill="1" applyBorder="1"/>
    <xf numFmtId="0" fontId="0" fillId="30" borderId="71" xfId="0" applyFill="1" applyBorder="1"/>
    <xf numFmtId="0" fontId="0" fillId="31" borderId="71" xfId="0" applyFill="1" applyBorder="1"/>
    <xf numFmtId="0" fontId="3" fillId="33" borderId="71" xfId="1" applyFill="1" applyBorder="1" applyAlignment="1">
      <alignment horizontal="center" vertical="center"/>
    </xf>
    <xf numFmtId="0" fontId="3" fillId="0" borderId="51" xfId="1" applyBorder="1" applyAlignment="1">
      <alignment horizontal="center" vertical="center"/>
    </xf>
    <xf numFmtId="0" fontId="29" fillId="0" borderId="0" xfId="0" applyFont="1"/>
    <xf numFmtId="0" fontId="10" fillId="21" borderId="17" xfId="1" applyFont="1" applyFill="1" applyBorder="1" applyAlignment="1">
      <alignment horizontal="center" vertical="center"/>
    </xf>
    <xf numFmtId="0" fontId="10" fillId="21" borderId="21" xfId="1" applyFont="1" applyFill="1" applyBorder="1" applyAlignment="1">
      <alignment horizontal="center" vertical="center"/>
    </xf>
    <xf numFmtId="0" fontId="10" fillId="21" borderId="38" xfId="1" applyFont="1" applyFill="1" applyBorder="1" applyAlignment="1">
      <alignment horizontal="center" vertical="center"/>
    </xf>
    <xf numFmtId="0" fontId="6" fillId="18" borderId="53" xfId="1" applyFont="1" applyFill="1" applyBorder="1" applyAlignment="1">
      <alignment horizontal="center" vertical="center"/>
    </xf>
    <xf numFmtId="0" fontId="6" fillId="18" borderId="51" xfId="1" applyFont="1" applyFill="1" applyBorder="1" applyAlignment="1">
      <alignment horizontal="center" vertical="center"/>
    </xf>
    <xf numFmtId="0" fontId="6" fillId="18" borderId="52" xfId="1" applyFont="1" applyFill="1" applyBorder="1" applyAlignment="1">
      <alignment horizontal="center" vertical="center"/>
    </xf>
    <xf numFmtId="0" fontId="3" fillId="19" borderId="42" xfId="1" applyFill="1" applyBorder="1" applyAlignment="1">
      <alignment horizontal="center" vertical="center"/>
    </xf>
    <xf numFmtId="0" fontId="3" fillId="19" borderId="20" xfId="1" applyFill="1" applyBorder="1" applyAlignment="1">
      <alignment horizontal="center" vertical="center"/>
    </xf>
    <xf numFmtId="0" fontId="3" fillId="19" borderId="37" xfId="1" applyFill="1" applyBorder="1" applyAlignment="1">
      <alignment horizontal="center" vertical="center"/>
    </xf>
    <xf numFmtId="0" fontId="10" fillId="20" borderId="42" xfId="1" applyFont="1" applyFill="1" applyBorder="1" applyAlignment="1">
      <alignment horizontal="center" vertical="center"/>
    </xf>
    <xf numFmtId="0" fontId="10" fillId="20" borderId="20" xfId="1" applyFont="1" applyFill="1" applyBorder="1" applyAlignment="1">
      <alignment horizontal="center" vertical="center"/>
    </xf>
    <xf numFmtId="0" fontId="10" fillId="20" borderId="37" xfId="1" applyFont="1" applyFill="1" applyBorder="1" applyAlignment="1">
      <alignment horizontal="center" vertical="center"/>
    </xf>
    <xf numFmtId="0" fontId="10" fillId="21" borderId="43" xfId="1" applyFont="1" applyFill="1" applyBorder="1" applyAlignment="1">
      <alignment horizontal="center" vertical="center"/>
    </xf>
    <xf numFmtId="0" fontId="4" fillId="0" borderId="10" xfId="1" applyFont="1" applyBorder="1" applyAlignment="1">
      <alignment horizontal="center" vertical="center"/>
    </xf>
    <xf numFmtId="0" fontId="4" fillId="0" borderId="11" xfId="1" applyFont="1" applyBorder="1" applyAlignment="1">
      <alignment horizontal="center" vertical="center"/>
    </xf>
    <xf numFmtId="0" fontId="4" fillId="0" borderId="12" xfId="1" applyFont="1" applyBorder="1" applyAlignment="1">
      <alignment horizontal="center" vertical="center"/>
    </xf>
    <xf numFmtId="0" fontId="6" fillId="18" borderId="50" xfId="1" applyFont="1" applyFill="1" applyBorder="1" applyAlignment="1">
      <alignment horizontal="center" vertical="center"/>
    </xf>
    <xf numFmtId="0" fontId="3" fillId="19" borderId="16" xfId="1" applyFill="1" applyBorder="1" applyAlignment="1">
      <alignment horizontal="center" vertical="center"/>
    </xf>
    <xf numFmtId="0" fontId="3" fillId="19" borderId="23" xfId="1" applyFill="1" applyBorder="1" applyAlignment="1">
      <alignment horizontal="center" vertical="center"/>
    </xf>
    <xf numFmtId="0" fontId="10" fillId="20" borderId="16" xfId="1" applyFont="1" applyFill="1" applyBorder="1" applyAlignment="1">
      <alignment horizontal="center" vertical="center"/>
    </xf>
    <xf numFmtId="0" fontId="6" fillId="18" borderId="54" xfId="1" applyFont="1" applyFill="1" applyBorder="1" applyAlignment="1">
      <alignment horizontal="center" vertical="center"/>
    </xf>
    <xf numFmtId="0" fontId="10" fillId="20" borderId="23" xfId="1" applyFont="1" applyFill="1" applyBorder="1" applyAlignment="1">
      <alignment horizontal="center" vertical="center"/>
    </xf>
    <xf numFmtId="0" fontId="10" fillId="21" borderId="24" xfId="1" applyFont="1" applyFill="1" applyBorder="1" applyAlignment="1">
      <alignment horizontal="center" vertical="center"/>
    </xf>
    <xf numFmtId="0" fontId="10" fillId="15" borderId="48" xfId="1" applyFont="1" applyFill="1" applyBorder="1" applyAlignment="1">
      <alignment horizontal="center" vertical="center"/>
    </xf>
    <xf numFmtId="0" fontId="10" fillId="15" borderId="21" xfId="1" applyFont="1" applyFill="1" applyBorder="1" applyAlignment="1">
      <alignment horizontal="center" vertical="center"/>
    </xf>
    <xf numFmtId="0" fontId="10" fillId="15" borderId="38" xfId="1" applyFont="1" applyFill="1" applyBorder="1" applyAlignment="1">
      <alignment horizontal="center" vertical="center"/>
    </xf>
    <xf numFmtId="0" fontId="6" fillId="11" borderId="53" xfId="1" applyFont="1" applyFill="1" applyBorder="1" applyAlignment="1">
      <alignment horizontal="center" vertical="center"/>
    </xf>
    <xf numFmtId="0" fontId="6" fillId="11" borderId="51" xfId="1" applyFont="1" applyFill="1" applyBorder="1" applyAlignment="1">
      <alignment horizontal="center" vertical="center"/>
    </xf>
    <xf numFmtId="0" fontId="6" fillId="11" borderId="52" xfId="1" applyFont="1" applyFill="1" applyBorder="1" applyAlignment="1">
      <alignment horizontal="center" vertical="center"/>
    </xf>
    <xf numFmtId="0" fontId="3" fillId="13" borderId="42" xfId="1" applyFill="1" applyBorder="1" applyAlignment="1">
      <alignment horizontal="center" vertical="center"/>
    </xf>
    <xf numFmtId="0" fontId="3" fillId="13" borderId="20" xfId="1" applyFill="1" applyBorder="1" applyAlignment="1">
      <alignment horizontal="center" vertical="center"/>
    </xf>
    <xf numFmtId="0" fontId="3" fillId="13" borderId="37" xfId="1" applyFill="1" applyBorder="1" applyAlignment="1">
      <alignment horizontal="center" vertical="center"/>
    </xf>
    <xf numFmtId="0" fontId="10" fillId="14" borderId="42" xfId="1" applyFont="1" applyFill="1" applyBorder="1" applyAlignment="1">
      <alignment horizontal="center" vertical="center"/>
    </xf>
    <xf numFmtId="0" fontId="10" fillId="14" borderId="20" xfId="1" applyFont="1" applyFill="1" applyBorder="1" applyAlignment="1">
      <alignment horizontal="center" vertical="center"/>
    </xf>
    <xf numFmtId="0" fontId="10" fillId="14" borderId="37" xfId="1" applyFont="1" applyFill="1" applyBorder="1" applyAlignment="1">
      <alignment horizontal="center" vertical="center"/>
    </xf>
    <xf numFmtId="0" fontId="10" fillId="15" borderId="43" xfId="1" applyFont="1" applyFill="1" applyBorder="1" applyAlignment="1">
      <alignment horizontal="center" vertical="center"/>
    </xf>
    <xf numFmtId="0" fontId="6" fillId="11" borderId="55" xfId="1" applyFont="1" applyFill="1" applyBorder="1" applyAlignment="1">
      <alignment horizontal="center" vertical="center"/>
    </xf>
    <xf numFmtId="0" fontId="3" fillId="13" borderId="25" xfId="1" applyFill="1" applyBorder="1" applyAlignment="1">
      <alignment horizontal="center" vertical="center"/>
    </xf>
    <xf numFmtId="0" fontId="3" fillId="13" borderId="23" xfId="1" applyFill="1" applyBorder="1" applyAlignment="1">
      <alignment horizontal="center" vertical="center"/>
    </xf>
    <xf numFmtId="0" fontId="10" fillId="14" borderId="25" xfId="1" applyFont="1" applyFill="1" applyBorder="1" applyAlignment="1">
      <alignment horizontal="center" vertical="center"/>
    </xf>
    <xf numFmtId="0" fontId="6" fillId="11" borderId="54" xfId="1" applyFont="1" applyFill="1" applyBorder="1" applyAlignment="1">
      <alignment horizontal="center" vertical="center"/>
    </xf>
    <xf numFmtId="0" fontId="10" fillId="14" borderId="23" xfId="1" applyFont="1" applyFill="1" applyBorder="1" applyAlignment="1">
      <alignment horizontal="center" vertical="center"/>
    </xf>
    <xf numFmtId="0" fontId="10" fillId="15" borderId="24" xfId="1" applyFont="1" applyFill="1" applyBorder="1" applyAlignment="1">
      <alignment horizontal="center" vertical="center"/>
    </xf>
    <xf numFmtId="0" fontId="23" fillId="33" borderId="48" xfId="1" applyFont="1" applyFill="1" applyBorder="1" applyAlignment="1">
      <alignment horizontal="center" vertical="center"/>
    </xf>
    <xf numFmtId="0" fontId="23" fillId="33" borderId="21" xfId="1" applyFont="1" applyFill="1" applyBorder="1" applyAlignment="1">
      <alignment horizontal="center" vertical="center"/>
    </xf>
    <xf numFmtId="0" fontId="23" fillId="33" borderId="38" xfId="1" applyFont="1" applyFill="1" applyBorder="1" applyAlignment="1">
      <alignment horizontal="center" vertical="center"/>
    </xf>
    <xf numFmtId="0" fontId="27" fillId="30" borderId="50" xfId="1" applyFont="1" applyFill="1" applyBorder="1" applyAlignment="1">
      <alignment horizontal="center" vertical="center"/>
    </xf>
    <xf numFmtId="0" fontId="27" fillId="30" borderId="51" xfId="1" applyFont="1" applyFill="1" applyBorder="1" applyAlignment="1">
      <alignment horizontal="center" vertical="center"/>
    </xf>
    <xf numFmtId="0" fontId="27" fillId="30" borderId="56" xfId="1" applyFont="1" applyFill="1" applyBorder="1" applyAlignment="1">
      <alignment horizontal="center" vertical="center"/>
    </xf>
    <xf numFmtId="0" fontId="23" fillId="31" borderId="16" xfId="1" applyFont="1" applyFill="1" applyBorder="1" applyAlignment="1">
      <alignment horizontal="center" vertical="center"/>
    </xf>
    <xf numFmtId="0" fontId="23" fillId="31" borderId="20" xfId="1" applyFont="1" applyFill="1" applyBorder="1" applyAlignment="1">
      <alignment horizontal="center" vertical="center"/>
    </xf>
    <xf numFmtId="0" fontId="23" fillId="31" borderId="2" xfId="1" applyFont="1" applyFill="1" applyBorder="1" applyAlignment="1">
      <alignment horizontal="center" vertical="center"/>
    </xf>
    <xf numFmtId="0" fontId="23" fillId="32" borderId="16" xfId="1" applyFont="1" applyFill="1" applyBorder="1" applyAlignment="1">
      <alignment horizontal="center" vertical="center"/>
    </xf>
    <xf numFmtId="0" fontId="23" fillId="32" borderId="20" xfId="1" applyFont="1" applyFill="1" applyBorder="1" applyAlignment="1">
      <alignment horizontal="center" vertical="center"/>
    </xf>
    <xf numFmtId="0" fontId="23" fillId="32" borderId="2" xfId="1" applyFont="1" applyFill="1" applyBorder="1" applyAlignment="1">
      <alignment horizontal="center" vertical="center"/>
    </xf>
    <xf numFmtId="0" fontId="23" fillId="33" borderId="17" xfId="1" applyFont="1" applyFill="1" applyBorder="1" applyAlignment="1">
      <alignment horizontal="center" vertical="center"/>
    </xf>
    <xf numFmtId="0" fontId="23" fillId="33" borderId="3" xfId="1" applyFont="1" applyFill="1" applyBorder="1" applyAlignment="1">
      <alignment horizontal="center" vertical="center"/>
    </xf>
    <xf numFmtId="0" fontId="27" fillId="30" borderId="53" xfId="1" applyFont="1" applyFill="1" applyBorder="1" applyAlignment="1">
      <alignment horizontal="center" vertical="center"/>
    </xf>
    <xf numFmtId="0" fontId="27" fillId="30" borderId="52" xfId="1" applyFont="1" applyFill="1" applyBorder="1" applyAlignment="1">
      <alignment horizontal="center" vertical="center"/>
    </xf>
    <xf numFmtId="0" fontId="23" fillId="31" borderId="42" xfId="1" applyFont="1" applyFill="1" applyBorder="1" applyAlignment="1">
      <alignment horizontal="center" vertical="center"/>
    </xf>
    <xf numFmtId="0" fontId="23" fillId="31" borderId="37" xfId="1" applyFont="1" applyFill="1" applyBorder="1" applyAlignment="1">
      <alignment horizontal="center" vertical="center"/>
    </xf>
    <xf numFmtId="0" fontId="23" fillId="32" borderId="42" xfId="1" applyFont="1" applyFill="1" applyBorder="1" applyAlignment="1">
      <alignment horizontal="center" vertical="center"/>
    </xf>
    <xf numFmtId="0" fontId="23" fillId="32" borderId="37" xfId="1" applyFont="1" applyFill="1" applyBorder="1" applyAlignment="1">
      <alignment horizontal="center" vertical="center"/>
    </xf>
    <xf numFmtId="0" fontId="23" fillId="33" borderId="43" xfId="1" applyFont="1" applyFill="1" applyBorder="1" applyAlignment="1">
      <alignment horizontal="center" vertical="center"/>
    </xf>
    <xf numFmtId="0" fontId="27" fillId="30" borderId="55" xfId="1" applyFont="1" applyFill="1" applyBorder="1" applyAlignment="1">
      <alignment horizontal="center" vertical="center"/>
    </xf>
    <xf numFmtId="0" fontId="23" fillId="31" borderId="25" xfId="1" applyFont="1" applyFill="1" applyBorder="1" applyAlignment="1">
      <alignment horizontal="center" vertical="center"/>
    </xf>
    <xf numFmtId="0" fontId="23" fillId="32" borderId="25" xfId="1" applyFont="1" applyFill="1" applyBorder="1" applyAlignment="1">
      <alignment horizontal="center" vertical="center"/>
    </xf>
    <xf numFmtId="0" fontId="11" fillId="23" borderId="28" xfId="1" applyFont="1" applyFill="1" applyBorder="1" applyAlignment="1">
      <alignment horizontal="center" vertical="center" textRotation="90"/>
    </xf>
    <xf numFmtId="0" fontId="11" fillId="23" borderId="19" xfId="1" applyFont="1" applyFill="1" applyBorder="1" applyAlignment="1">
      <alignment horizontal="center" vertical="center" textRotation="90"/>
    </xf>
    <xf numFmtId="0" fontId="11" fillId="23" borderId="27" xfId="1" applyFont="1" applyFill="1" applyBorder="1" applyAlignment="1">
      <alignment horizontal="center" vertical="center" textRotation="90"/>
    </xf>
    <xf numFmtId="0" fontId="6" fillId="24" borderId="55" xfId="1" applyFont="1" applyFill="1" applyBorder="1" applyAlignment="1">
      <alignment horizontal="center" vertical="center"/>
    </xf>
    <xf numFmtId="0" fontId="6" fillId="24" borderId="51" xfId="1" applyFont="1" applyFill="1" applyBorder="1" applyAlignment="1">
      <alignment horizontal="center" vertical="center"/>
    </xf>
    <xf numFmtId="0" fontId="6" fillId="24" borderId="52" xfId="1" applyFont="1" applyFill="1" applyBorder="1" applyAlignment="1">
      <alignment horizontal="center" vertical="center"/>
    </xf>
    <xf numFmtId="0" fontId="3" fillId="7" borderId="25" xfId="1" applyFill="1" applyBorder="1" applyAlignment="1">
      <alignment horizontal="center" vertical="center"/>
    </xf>
    <xf numFmtId="0" fontId="3" fillId="7" borderId="20" xfId="1" applyFill="1" applyBorder="1" applyAlignment="1">
      <alignment horizontal="center" vertical="center"/>
    </xf>
    <xf numFmtId="0" fontId="3" fillId="7" borderId="2" xfId="1" applyFill="1" applyBorder="1" applyAlignment="1">
      <alignment horizontal="center" vertical="center"/>
    </xf>
    <xf numFmtId="0" fontId="3" fillId="7" borderId="48" xfId="1" applyFill="1" applyBorder="1" applyAlignment="1">
      <alignment horizontal="center" vertical="center"/>
    </xf>
    <xf numFmtId="0" fontId="3" fillId="7" borderId="21" xfId="1" applyFill="1" applyBorder="1" applyAlignment="1">
      <alignment horizontal="center" vertical="center"/>
    </xf>
    <xf numFmtId="0" fontId="3" fillId="7" borderId="3" xfId="1" applyFill="1" applyBorder="1" applyAlignment="1">
      <alignment horizontal="center" vertical="center"/>
    </xf>
    <xf numFmtId="0" fontId="6" fillId="24" borderId="50" xfId="1" applyFont="1" applyFill="1" applyBorder="1" applyAlignment="1">
      <alignment horizontal="center" vertical="center"/>
    </xf>
    <xf numFmtId="0" fontId="27" fillId="30" borderId="54" xfId="1" applyFont="1" applyFill="1" applyBorder="1" applyAlignment="1">
      <alignment horizontal="center" vertical="center"/>
    </xf>
    <xf numFmtId="0" fontId="23" fillId="31" borderId="23" xfId="1" applyFont="1" applyFill="1" applyBorder="1" applyAlignment="1">
      <alignment horizontal="center" vertical="center"/>
    </xf>
    <xf numFmtId="0" fontId="3" fillId="7" borderId="17" xfId="1" applyFill="1" applyBorder="1" applyAlignment="1">
      <alignment horizontal="center" vertical="center"/>
    </xf>
    <xf numFmtId="0" fontId="6" fillId="24" borderId="53" xfId="1" applyFont="1" applyFill="1" applyBorder="1" applyAlignment="1">
      <alignment horizontal="center" vertical="center"/>
    </xf>
    <xf numFmtId="0" fontId="3" fillId="7" borderId="16" xfId="1" applyFill="1" applyBorder="1" applyAlignment="1">
      <alignment horizontal="center" vertical="center"/>
    </xf>
    <xf numFmtId="0" fontId="23" fillId="32" borderId="23" xfId="1" applyFont="1" applyFill="1" applyBorder="1" applyAlignment="1">
      <alignment horizontal="center" vertical="center"/>
    </xf>
    <xf numFmtId="0" fontId="23" fillId="33" borderId="24" xfId="1" applyFont="1" applyFill="1" applyBorder="1" applyAlignment="1">
      <alignment horizontal="center" vertical="center"/>
    </xf>
    <xf numFmtId="0" fontId="6" fillId="24" borderId="54" xfId="1" applyFont="1" applyFill="1" applyBorder="1" applyAlignment="1">
      <alignment horizontal="center" vertical="center"/>
    </xf>
    <xf numFmtId="0" fontId="3" fillId="7" borderId="23" xfId="1" applyFill="1" applyBorder="1" applyAlignment="1">
      <alignment horizontal="center" vertical="center"/>
    </xf>
    <xf numFmtId="0" fontId="3" fillId="7" borderId="24" xfId="1" applyFill="1" applyBorder="1" applyAlignment="1">
      <alignment horizontal="center" vertical="center"/>
    </xf>
    <xf numFmtId="0" fontId="4" fillId="10" borderId="28" xfId="1" applyFont="1" applyFill="1" applyBorder="1" applyAlignment="1">
      <alignment horizontal="center" vertical="center" textRotation="90" wrapText="1"/>
    </xf>
    <xf numFmtId="0" fontId="4" fillId="10" borderId="19" xfId="1" applyFont="1" applyFill="1" applyBorder="1" applyAlignment="1">
      <alignment horizontal="center" vertical="center" textRotation="90" wrapText="1"/>
    </xf>
    <xf numFmtId="0" fontId="4" fillId="10" borderId="27" xfId="1" applyFont="1" applyFill="1" applyBorder="1" applyAlignment="1">
      <alignment horizontal="center" vertical="center" textRotation="90" wrapText="1"/>
    </xf>
    <xf numFmtId="0" fontId="6" fillId="11" borderId="50" xfId="1" applyFont="1" applyFill="1" applyBorder="1" applyAlignment="1">
      <alignment horizontal="center" vertical="center"/>
    </xf>
    <xf numFmtId="0" fontId="3" fillId="13" borderId="16" xfId="1" applyFill="1" applyBorder="1" applyAlignment="1">
      <alignment horizontal="center" vertical="center"/>
    </xf>
    <xf numFmtId="0" fontId="10" fillId="14" borderId="16" xfId="1" applyFont="1" applyFill="1" applyBorder="1" applyAlignment="1">
      <alignment horizontal="center" vertical="center"/>
    </xf>
    <xf numFmtId="0" fontId="10" fillId="15" borderId="17" xfId="1" applyFont="1" applyFill="1" applyBorder="1" applyAlignment="1">
      <alignment horizontal="center" vertical="center"/>
    </xf>
    <xf numFmtId="0" fontId="4" fillId="17" borderId="28" xfId="1" applyFont="1" applyFill="1" applyBorder="1" applyAlignment="1">
      <alignment horizontal="center" vertical="center" textRotation="90"/>
    </xf>
    <xf numFmtId="0" fontId="4" fillId="17" borderId="19" xfId="1" applyFont="1" applyFill="1" applyBorder="1" applyAlignment="1">
      <alignment horizontal="center" vertical="center" textRotation="90"/>
    </xf>
    <xf numFmtId="0" fontId="4" fillId="17" borderId="27" xfId="1" applyFont="1" applyFill="1" applyBorder="1" applyAlignment="1">
      <alignment horizontal="center" vertical="center" textRotation="90"/>
    </xf>
    <xf numFmtId="0" fontId="6" fillId="24" borderId="56" xfId="1" applyFont="1" applyFill="1" applyBorder="1" applyAlignment="1">
      <alignment horizontal="center" vertical="center"/>
    </xf>
    <xf numFmtId="0" fontId="3" fillId="7" borderId="58" xfId="1" applyFill="1" applyBorder="1" applyAlignment="1">
      <alignment horizontal="center" vertical="center"/>
    </xf>
    <xf numFmtId="0" fontId="23" fillId="44" borderId="16" xfId="1" applyFont="1" applyFill="1" applyBorder="1" applyAlignment="1">
      <alignment horizontal="center" vertical="center"/>
    </xf>
    <xf numFmtId="0" fontId="23" fillId="44" borderId="20" xfId="1" applyFont="1" applyFill="1" applyBorder="1" applyAlignment="1">
      <alignment horizontal="center" vertical="center"/>
    </xf>
    <xf numFmtId="0" fontId="23" fillId="44" borderId="37" xfId="1" applyFont="1" applyFill="1" applyBorder="1" applyAlignment="1">
      <alignment horizontal="center" vertical="center"/>
    </xf>
    <xf numFmtId="0" fontId="23" fillId="38" borderId="42" xfId="1" applyFont="1" applyFill="1" applyBorder="1" applyAlignment="1">
      <alignment horizontal="center" vertical="center"/>
    </xf>
    <xf numFmtId="0" fontId="23" fillId="38" borderId="20" xfId="1" applyFont="1" applyFill="1" applyBorder="1" applyAlignment="1">
      <alignment horizontal="center" vertical="center"/>
    </xf>
    <xf numFmtId="0" fontId="23" fillId="38" borderId="37" xfId="1" applyFont="1" applyFill="1" applyBorder="1" applyAlignment="1">
      <alignment horizontal="center" vertical="center"/>
    </xf>
    <xf numFmtId="0" fontId="4" fillId="10" borderId="28" xfId="1" applyFont="1" applyFill="1" applyBorder="1" applyAlignment="1">
      <alignment horizontal="center" vertical="center" textRotation="90"/>
    </xf>
    <xf numFmtId="0" fontId="4" fillId="10" borderId="19" xfId="1" applyFont="1" applyFill="1" applyBorder="1" applyAlignment="1">
      <alignment horizontal="center" vertical="center" textRotation="90"/>
    </xf>
    <xf numFmtId="0" fontId="4" fillId="10" borderId="27" xfId="1" applyFont="1" applyFill="1" applyBorder="1" applyAlignment="1">
      <alignment horizontal="center" vertical="center" textRotation="90"/>
    </xf>
    <xf numFmtId="0" fontId="11" fillId="29" borderId="28" xfId="1" applyFont="1" applyFill="1" applyBorder="1" applyAlignment="1">
      <alignment horizontal="center" vertical="center" textRotation="90"/>
    </xf>
    <xf numFmtId="0" fontId="11" fillId="29" borderId="19" xfId="1" applyFont="1" applyFill="1" applyBorder="1" applyAlignment="1">
      <alignment horizontal="center" vertical="center" textRotation="90"/>
    </xf>
    <xf numFmtId="0" fontId="4" fillId="23" borderId="28" xfId="1" applyFont="1" applyFill="1" applyBorder="1" applyAlignment="1">
      <alignment horizontal="center" vertical="center" textRotation="90"/>
    </xf>
    <xf numFmtId="0" fontId="4" fillId="23" borderId="19" xfId="1" applyFont="1" applyFill="1" applyBorder="1" applyAlignment="1">
      <alignment horizontal="center" vertical="center" textRotation="90"/>
    </xf>
    <xf numFmtId="0" fontId="4" fillId="23" borderId="27" xfId="1" applyFont="1" applyFill="1" applyBorder="1" applyAlignment="1">
      <alignment horizontal="center" vertical="center" textRotation="90"/>
    </xf>
    <xf numFmtId="0" fontId="3" fillId="7" borderId="37" xfId="1" applyFill="1" applyBorder="1" applyAlignment="1">
      <alignment horizontal="center" vertical="center"/>
    </xf>
    <xf numFmtId="0" fontId="3" fillId="7" borderId="38" xfId="1" applyFill="1" applyBorder="1" applyAlignment="1">
      <alignment horizontal="center" vertical="center"/>
    </xf>
    <xf numFmtId="0" fontId="3" fillId="7" borderId="42" xfId="1" applyFill="1" applyBorder="1" applyAlignment="1">
      <alignment horizontal="center" vertical="center"/>
    </xf>
    <xf numFmtId="0" fontId="3" fillId="7" borderId="43" xfId="1" applyFill="1" applyBorder="1" applyAlignment="1">
      <alignment horizontal="center" vertical="center"/>
    </xf>
    <xf numFmtId="0" fontId="11" fillId="29" borderId="27" xfId="1" applyFont="1" applyFill="1" applyBorder="1" applyAlignment="1">
      <alignment horizontal="center" vertical="center" textRotation="90"/>
    </xf>
    <xf numFmtId="0" fontId="11" fillId="0" borderId="10" xfId="1" applyFont="1" applyBorder="1" applyAlignment="1">
      <alignment horizontal="center" vertical="center"/>
    </xf>
    <xf numFmtId="0" fontId="11" fillId="0" borderId="11" xfId="1" applyFont="1" applyBorder="1" applyAlignment="1">
      <alignment horizontal="center" vertical="center"/>
    </xf>
    <xf numFmtId="0" fontId="11" fillId="0" borderId="12" xfId="1" applyFont="1" applyBorder="1" applyAlignment="1">
      <alignment horizontal="center" vertical="center"/>
    </xf>
    <xf numFmtId="0" fontId="11" fillId="41" borderId="28" xfId="1" applyFont="1" applyFill="1" applyBorder="1" applyAlignment="1">
      <alignment horizontal="center" vertical="center" textRotation="90" wrapText="1"/>
    </xf>
    <xf numFmtId="0" fontId="11" fillId="41" borderId="19" xfId="1" applyFont="1" applyFill="1" applyBorder="1" applyAlignment="1">
      <alignment horizontal="center" vertical="center" textRotation="90" wrapText="1"/>
    </xf>
    <xf numFmtId="0" fontId="11" fillId="41" borderId="27" xfId="1" applyFont="1" applyFill="1" applyBorder="1" applyAlignment="1">
      <alignment horizontal="center" vertical="center" textRotation="90" wrapText="1"/>
    </xf>
    <xf numFmtId="0" fontId="27" fillId="42" borderId="50" xfId="1" applyFont="1" applyFill="1" applyBorder="1" applyAlignment="1">
      <alignment horizontal="center" vertical="center"/>
    </xf>
    <xf numFmtId="0" fontId="27" fillId="42" borderId="51" xfId="1" applyFont="1" applyFill="1" applyBorder="1" applyAlignment="1">
      <alignment horizontal="center" vertical="center"/>
    </xf>
    <xf numFmtId="0" fontId="27" fillId="42" borderId="52" xfId="1" applyFont="1" applyFill="1" applyBorder="1" applyAlignment="1">
      <alignment horizontal="center" vertical="center"/>
    </xf>
    <xf numFmtId="0" fontId="23" fillId="43" borderId="16" xfId="1" applyFont="1" applyFill="1" applyBorder="1" applyAlignment="1">
      <alignment horizontal="center" vertical="center"/>
    </xf>
    <xf numFmtId="0" fontId="23" fillId="43" borderId="20" xfId="1" applyFont="1" applyFill="1" applyBorder="1" applyAlignment="1">
      <alignment horizontal="center" vertical="center"/>
    </xf>
    <xf numFmtId="0" fontId="23" fillId="43" borderId="37" xfId="1" applyFont="1" applyFill="1" applyBorder="1" applyAlignment="1">
      <alignment horizontal="center" vertical="center"/>
    </xf>
    <xf numFmtId="0" fontId="23" fillId="43" borderId="23" xfId="1" applyFont="1" applyFill="1" applyBorder="1" applyAlignment="1">
      <alignment horizontal="center" vertical="center"/>
    </xf>
    <xf numFmtId="0" fontId="23" fillId="45" borderId="17" xfId="1" applyFont="1" applyFill="1" applyBorder="1" applyAlignment="1">
      <alignment horizontal="center" vertical="center"/>
    </xf>
    <xf numFmtId="0" fontId="23" fillId="45" borderId="21" xfId="1" applyFont="1" applyFill="1" applyBorder="1" applyAlignment="1">
      <alignment horizontal="center" vertical="center"/>
    </xf>
    <xf numFmtId="0" fontId="23" fillId="45" borderId="38" xfId="1" applyFont="1" applyFill="1" applyBorder="1" applyAlignment="1">
      <alignment horizontal="center" vertical="center"/>
    </xf>
    <xf numFmtId="0" fontId="27" fillId="42" borderId="53" xfId="1" applyFont="1" applyFill="1" applyBorder="1" applyAlignment="1">
      <alignment horizontal="center" vertical="center"/>
    </xf>
    <xf numFmtId="0" fontId="23" fillId="43" borderId="42" xfId="1" applyFont="1" applyFill="1" applyBorder="1" applyAlignment="1">
      <alignment horizontal="center" vertical="center"/>
    </xf>
    <xf numFmtId="0" fontId="23" fillId="44" borderId="42" xfId="1" applyFont="1" applyFill="1" applyBorder="1" applyAlignment="1">
      <alignment horizontal="center" vertical="center"/>
    </xf>
    <xf numFmtId="0" fontId="23" fillId="45" borderId="43" xfId="1" applyFont="1" applyFill="1" applyBorder="1" applyAlignment="1">
      <alignment horizontal="center" vertical="center"/>
    </xf>
    <xf numFmtId="0" fontId="27" fillId="42" borderId="54" xfId="1" applyFont="1" applyFill="1" applyBorder="1" applyAlignment="1">
      <alignment horizontal="center" vertical="center"/>
    </xf>
    <xf numFmtId="0" fontId="23" fillId="44" borderId="23" xfId="1" applyFont="1" applyFill="1" applyBorder="1" applyAlignment="1">
      <alignment horizontal="center" vertical="center"/>
    </xf>
    <xf numFmtId="0" fontId="23" fillId="45" borderId="24" xfId="1" applyFont="1" applyFill="1" applyBorder="1" applyAlignment="1">
      <alignment horizontal="center" vertical="center"/>
    </xf>
    <xf numFmtId="0" fontId="23" fillId="39" borderId="43" xfId="1" applyFont="1" applyFill="1" applyBorder="1" applyAlignment="1">
      <alignment horizontal="center" vertical="center"/>
    </xf>
    <xf numFmtId="0" fontId="23" fillId="39" borderId="21" xfId="1" applyFont="1" applyFill="1" applyBorder="1" applyAlignment="1">
      <alignment horizontal="center" vertical="center"/>
    </xf>
    <xf numFmtId="0" fontId="23" fillId="39" borderId="38" xfId="1" applyFont="1" applyFill="1" applyBorder="1" applyAlignment="1">
      <alignment horizontal="center" vertical="center"/>
    </xf>
    <xf numFmtId="0" fontId="11" fillId="35" borderId="28" xfId="1" applyFont="1" applyFill="1" applyBorder="1" applyAlignment="1">
      <alignment horizontal="center" vertical="center" textRotation="90" wrapText="1"/>
    </xf>
    <xf numFmtId="0" fontId="11" fillId="35" borderId="19" xfId="1" applyFont="1" applyFill="1" applyBorder="1" applyAlignment="1">
      <alignment horizontal="center" vertical="center" textRotation="90" wrapText="1"/>
    </xf>
    <xf numFmtId="0" fontId="11" fillId="35" borderId="27" xfId="1" applyFont="1" applyFill="1" applyBorder="1" applyAlignment="1">
      <alignment horizontal="center" vertical="center" textRotation="90" wrapText="1"/>
    </xf>
    <xf numFmtId="0" fontId="27" fillId="36" borderId="50" xfId="1" applyFont="1" applyFill="1" applyBorder="1" applyAlignment="1">
      <alignment horizontal="center" vertical="center"/>
    </xf>
    <xf numFmtId="0" fontId="27" fillId="36" borderId="51" xfId="1" applyFont="1" applyFill="1" applyBorder="1" applyAlignment="1">
      <alignment horizontal="center" vertical="center"/>
    </xf>
    <xf numFmtId="0" fontId="27" fillId="36" borderId="52" xfId="1" applyFont="1" applyFill="1" applyBorder="1" applyAlignment="1">
      <alignment horizontal="center" vertical="center"/>
    </xf>
    <xf numFmtId="0" fontId="23" fillId="37" borderId="16" xfId="1" applyFont="1" applyFill="1" applyBorder="1" applyAlignment="1">
      <alignment horizontal="center" vertical="center"/>
    </xf>
    <xf numFmtId="0" fontId="23" fillId="37" borderId="20" xfId="1" applyFont="1" applyFill="1" applyBorder="1" applyAlignment="1">
      <alignment horizontal="center" vertical="center"/>
    </xf>
    <xf numFmtId="0" fontId="23" fillId="37" borderId="37" xfId="1" applyFont="1" applyFill="1" applyBorder="1" applyAlignment="1">
      <alignment horizontal="center" vertical="center"/>
    </xf>
    <xf numFmtId="0" fontId="23" fillId="37" borderId="23" xfId="1" applyFont="1" applyFill="1" applyBorder="1" applyAlignment="1">
      <alignment horizontal="center" vertical="center"/>
    </xf>
    <xf numFmtId="0" fontId="23" fillId="38" borderId="16" xfId="1" applyFont="1" applyFill="1" applyBorder="1" applyAlignment="1">
      <alignment horizontal="center" vertical="center"/>
    </xf>
    <xf numFmtId="0" fontId="23" fillId="39" borderId="17" xfId="1" applyFont="1" applyFill="1" applyBorder="1" applyAlignment="1">
      <alignment horizontal="center" vertical="center"/>
    </xf>
    <xf numFmtId="0" fontId="23" fillId="38" borderId="23" xfId="1" applyFont="1" applyFill="1" applyBorder="1" applyAlignment="1">
      <alignment horizontal="center" vertical="center"/>
    </xf>
    <xf numFmtId="0" fontId="23" fillId="39" borderId="24" xfId="1" applyFont="1" applyFill="1" applyBorder="1" applyAlignment="1">
      <alignment horizontal="center" vertical="center"/>
    </xf>
    <xf numFmtId="0" fontId="27" fillId="42" borderId="55" xfId="1" applyFont="1" applyFill="1" applyBorder="1" applyAlignment="1">
      <alignment horizontal="center" vertical="center"/>
    </xf>
    <xf numFmtId="0" fontId="23" fillId="43" borderId="25" xfId="1" applyFont="1" applyFill="1" applyBorder="1" applyAlignment="1">
      <alignment horizontal="center" vertical="center"/>
    </xf>
    <xf numFmtId="0" fontId="23" fillId="44" borderId="25" xfId="1" applyFont="1" applyFill="1" applyBorder="1" applyAlignment="1">
      <alignment horizontal="center" vertical="center"/>
    </xf>
    <xf numFmtId="0" fontId="23" fillId="45" borderId="48" xfId="1" applyFont="1" applyFill="1" applyBorder="1" applyAlignment="1">
      <alignment horizontal="center" vertical="center"/>
    </xf>
    <xf numFmtId="0" fontId="27" fillId="36" borderId="54" xfId="1" applyFont="1" applyFill="1" applyBorder="1" applyAlignment="1">
      <alignment horizontal="center" vertical="center"/>
    </xf>
    <xf numFmtId="0" fontId="23" fillId="37" borderId="42" xfId="1" applyFont="1" applyFill="1" applyBorder="1" applyAlignment="1">
      <alignment horizontal="center" vertical="center"/>
    </xf>
    <xf numFmtId="0" fontId="27" fillId="36" borderId="53" xfId="1" applyFont="1" applyFill="1" applyBorder="1" applyAlignment="1">
      <alignment horizontal="center" vertical="center"/>
    </xf>
    <xf numFmtId="0" fontId="27" fillId="36" borderId="55" xfId="1" applyFont="1" applyFill="1" applyBorder="1" applyAlignment="1">
      <alignment horizontal="center" vertical="center"/>
    </xf>
    <xf numFmtId="0" fontId="23" fillId="37" borderId="25" xfId="1" applyFont="1" applyFill="1" applyBorder="1" applyAlignment="1">
      <alignment horizontal="center" vertical="center"/>
    </xf>
    <xf numFmtId="0" fontId="23" fillId="38" borderId="25" xfId="1" applyFont="1" applyFill="1" applyBorder="1" applyAlignment="1">
      <alignment horizontal="center" vertical="center"/>
    </xf>
    <xf numFmtId="0" fontId="23" fillId="39" borderId="48" xfId="1" applyFont="1" applyFill="1" applyBorder="1" applyAlignment="1">
      <alignment horizontal="center" vertical="center"/>
    </xf>
    <xf numFmtId="0" fontId="17" fillId="0" borderId="10" xfId="2" applyFont="1" applyBorder="1" applyAlignment="1">
      <alignment horizontal="center" vertical="center"/>
    </xf>
    <xf numFmtId="0" fontId="17" fillId="0" borderId="11" xfId="2" applyFont="1" applyBorder="1" applyAlignment="1">
      <alignment horizontal="center" vertical="center"/>
    </xf>
    <xf numFmtId="0" fontId="17" fillId="0" borderId="12" xfId="2" applyFont="1" applyBorder="1" applyAlignment="1">
      <alignment horizontal="center" vertical="center"/>
    </xf>
    <xf numFmtId="0" fontId="0" fillId="46" borderId="10" xfId="0" applyFill="1" applyBorder="1" applyAlignment="1">
      <alignment horizontal="center"/>
    </xf>
    <xf numFmtId="0" fontId="0" fillId="46" borderId="11" xfId="0" applyFill="1" applyBorder="1" applyAlignment="1">
      <alignment horizontal="center"/>
    </xf>
    <xf numFmtId="0" fontId="0" fillId="46" borderId="12" xfId="0" applyFill="1" applyBorder="1" applyAlignment="1">
      <alignment horizontal="center"/>
    </xf>
    <xf numFmtId="0" fontId="18" fillId="0" borderId="28" xfId="0" applyFont="1" applyBorder="1" applyAlignment="1">
      <alignment horizontal="center" vertical="center" textRotation="90" shrinkToFit="1"/>
    </xf>
    <xf numFmtId="0" fontId="18" fillId="0" borderId="19" xfId="0" applyFont="1" applyBorder="1" applyAlignment="1">
      <alignment horizontal="center" vertical="center" textRotation="90" shrinkToFit="1"/>
    </xf>
    <xf numFmtId="0" fontId="18" fillId="0" borderId="27" xfId="0" applyFont="1" applyBorder="1" applyAlignment="1">
      <alignment horizontal="center" vertical="center" textRotation="90" shrinkToFit="1"/>
    </xf>
    <xf numFmtId="0" fontId="10" fillId="20" borderId="31" xfId="1" applyFont="1" applyFill="1" applyBorder="1" applyAlignment="1">
      <alignment horizontal="center" vertical="center"/>
    </xf>
    <xf numFmtId="0" fontId="10" fillId="20" borderId="73" xfId="1" applyFont="1" applyFill="1" applyBorder="1" applyAlignment="1">
      <alignment horizontal="center" vertical="center"/>
    </xf>
    <xf numFmtId="0" fontId="10" fillId="19" borderId="71" xfId="1" applyFont="1" applyFill="1" applyBorder="1" applyAlignment="1">
      <alignment horizontal="center" vertical="center"/>
    </xf>
    <xf numFmtId="0" fontId="10" fillId="19" borderId="74" xfId="1" applyFont="1" applyFill="1" applyBorder="1" applyAlignment="1">
      <alignment horizontal="center" vertical="center"/>
    </xf>
    <xf numFmtId="0" fontId="10" fillId="14" borderId="31" xfId="1" applyFont="1" applyFill="1" applyBorder="1" applyAlignment="1">
      <alignment horizontal="center" vertical="center"/>
    </xf>
    <xf numFmtId="0" fontId="10" fillId="14" borderId="73" xfId="1" applyFont="1" applyFill="1" applyBorder="1" applyAlignment="1">
      <alignment horizontal="center" vertical="center"/>
    </xf>
    <xf numFmtId="0" fontId="10" fillId="13" borderId="71" xfId="1" applyFont="1" applyFill="1" applyBorder="1" applyAlignment="1">
      <alignment horizontal="center" vertical="center"/>
    </xf>
    <xf numFmtId="0" fontId="10" fillId="13" borderId="74" xfId="1" applyFont="1" applyFill="1" applyBorder="1" applyAlignment="1">
      <alignment horizontal="center" vertical="center"/>
    </xf>
    <xf numFmtId="0" fontId="4" fillId="17" borderId="54" xfId="1" applyFont="1" applyFill="1" applyBorder="1" applyAlignment="1">
      <alignment horizontal="center" vertical="center"/>
    </xf>
    <xf numFmtId="0" fontId="4" fillId="17" borderId="65" xfId="1" applyFont="1" applyFill="1" applyBorder="1" applyAlignment="1">
      <alignment horizontal="center" vertical="center"/>
    </xf>
    <xf numFmtId="0" fontId="4" fillId="17" borderId="79" xfId="1" applyFont="1" applyFill="1" applyBorder="1" applyAlignment="1">
      <alignment horizontal="center" vertical="center"/>
    </xf>
    <xf numFmtId="0" fontId="4" fillId="17" borderId="10" xfId="1" applyFont="1" applyFill="1" applyBorder="1" applyAlignment="1">
      <alignment horizontal="center" vertical="center"/>
    </xf>
    <xf numFmtId="0" fontId="4" fillId="17" borderId="11" xfId="1" applyFont="1" applyFill="1" applyBorder="1" applyAlignment="1">
      <alignment horizontal="center" vertical="center"/>
    </xf>
    <xf numFmtId="0" fontId="4" fillId="17" borderId="12" xfId="1" applyFont="1" applyFill="1" applyBorder="1" applyAlignment="1">
      <alignment horizontal="center" vertical="center"/>
    </xf>
    <xf numFmtId="0" fontId="4" fillId="10" borderId="10" xfId="1" applyFont="1" applyFill="1" applyBorder="1" applyAlignment="1">
      <alignment horizontal="center" vertical="center"/>
    </xf>
    <xf numFmtId="0" fontId="4" fillId="10" borderId="11" xfId="1" applyFont="1" applyFill="1" applyBorder="1" applyAlignment="1">
      <alignment horizontal="center" vertical="center"/>
    </xf>
    <xf numFmtId="0" fontId="4" fillId="10" borderId="12" xfId="1" applyFont="1" applyFill="1" applyBorder="1" applyAlignment="1">
      <alignment horizontal="center" vertical="center"/>
    </xf>
    <xf numFmtId="0" fontId="4" fillId="0" borderId="28" xfId="1" applyFont="1" applyBorder="1" applyAlignment="1">
      <alignment horizontal="center" vertical="center" textRotation="90" shrinkToFit="1"/>
    </xf>
    <xf numFmtId="0" fontId="4" fillId="0" borderId="19" xfId="1" applyFont="1" applyBorder="1" applyAlignment="1">
      <alignment horizontal="center" vertical="center" textRotation="90" shrinkToFit="1"/>
    </xf>
    <xf numFmtId="0" fontId="4" fillId="0" borderId="27" xfId="1" applyFont="1" applyBorder="1" applyAlignment="1">
      <alignment horizontal="center" vertical="center" textRotation="90" shrinkToFit="1"/>
    </xf>
    <xf numFmtId="0" fontId="4" fillId="29" borderId="10" xfId="1" applyFont="1" applyFill="1" applyBorder="1" applyAlignment="1">
      <alignment horizontal="center" vertical="center"/>
    </xf>
    <xf numFmtId="0" fontId="4" fillId="29" borderId="11" xfId="1" applyFont="1" applyFill="1" applyBorder="1" applyAlignment="1">
      <alignment horizontal="center" vertical="center"/>
    </xf>
    <xf numFmtId="0" fontId="4" fillId="29" borderId="12" xfId="1" applyFont="1" applyFill="1" applyBorder="1" applyAlignment="1">
      <alignment horizontal="center" vertical="center"/>
    </xf>
    <xf numFmtId="0" fontId="23" fillId="32" borderId="31" xfId="1" applyFont="1" applyFill="1" applyBorder="1" applyAlignment="1">
      <alignment horizontal="center" vertical="center"/>
    </xf>
    <xf numFmtId="0" fontId="23" fillId="32" borderId="73" xfId="1" applyFont="1" applyFill="1" applyBorder="1" applyAlignment="1">
      <alignment horizontal="center" vertical="center"/>
    </xf>
    <xf numFmtId="0" fontId="23" fillId="31" borderId="71" xfId="1" applyFont="1" applyFill="1" applyBorder="1" applyAlignment="1">
      <alignment horizontal="center" vertical="center"/>
    </xf>
    <xf numFmtId="0" fontId="23" fillId="31" borderId="74" xfId="1" applyFont="1" applyFill="1" applyBorder="1" applyAlignment="1">
      <alignment horizontal="center" vertical="center"/>
    </xf>
    <xf numFmtId="0" fontId="4" fillId="41" borderId="10" xfId="1" applyFont="1" applyFill="1" applyBorder="1" applyAlignment="1">
      <alignment horizontal="center" vertical="center"/>
    </xf>
    <xf numFmtId="0" fontId="4" fillId="41" borderId="11" xfId="1" applyFont="1" applyFill="1" applyBorder="1" applyAlignment="1">
      <alignment horizontal="center" vertical="center"/>
    </xf>
    <xf numFmtId="0" fontId="4" fillId="41" borderId="12" xfId="1" applyFont="1" applyFill="1" applyBorder="1" applyAlignment="1">
      <alignment horizontal="center" vertical="center"/>
    </xf>
    <xf numFmtId="0" fontId="23" fillId="44" borderId="31" xfId="1" applyFont="1" applyFill="1" applyBorder="1" applyAlignment="1">
      <alignment horizontal="center" vertical="center"/>
    </xf>
    <xf numFmtId="0" fontId="23" fillId="44" borderId="73" xfId="1" applyFont="1" applyFill="1" applyBorder="1" applyAlignment="1">
      <alignment horizontal="center" vertical="center"/>
    </xf>
    <xf numFmtId="0" fontId="23" fillId="43" borderId="71" xfId="1" applyFont="1" applyFill="1" applyBorder="1" applyAlignment="1">
      <alignment horizontal="center" vertical="center"/>
    </xf>
    <xf numFmtId="0" fontId="23" fillId="43" borderId="74" xfId="1" applyFont="1" applyFill="1" applyBorder="1" applyAlignment="1">
      <alignment horizontal="center" vertical="center"/>
    </xf>
    <xf numFmtId="0" fontId="26" fillId="2" borderId="55" xfId="0" applyFont="1" applyFill="1" applyBorder="1" applyAlignment="1">
      <alignment horizontal="center" vertical="center"/>
    </xf>
    <xf numFmtId="0" fontId="26" fillId="2" borderId="66" xfId="0" applyFont="1" applyFill="1" applyBorder="1" applyAlignment="1">
      <alignment horizontal="center" vertical="center"/>
    </xf>
    <xf numFmtId="0" fontId="26" fillId="2" borderId="61" xfId="0" applyFont="1" applyFill="1" applyBorder="1" applyAlignment="1">
      <alignment horizontal="center" vertical="center"/>
    </xf>
    <xf numFmtId="0" fontId="26" fillId="2" borderId="54" xfId="0" applyFont="1" applyFill="1" applyBorder="1" applyAlignment="1">
      <alignment horizontal="center" vertical="center"/>
    </xf>
    <xf numFmtId="0" fontId="26" fillId="2" borderId="65" xfId="0" applyFont="1" applyFill="1" applyBorder="1" applyAlignment="1">
      <alignment horizontal="center" vertical="center"/>
    </xf>
    <xf numFmtId="0" fontId="26" fillId="2" borderId="79" xfId="0" applyFont="1" applyFill="1" applyBorder="1" applyAlignment="1">
      <alignment horizontal="center" vertical="center"/>
    </xf>
    <xf numFmtId="0" fontId="23" fillId="38" borderId="31" xfId="1" applyFont="1" applyFill="1" applyBorder="1" applyAlignment="1">
      <alignment horizontal="center" vertical="center"/>
    </xf>
    <xf numFmtId="0" fontId="23" fillId="38" borderId="73" xfId="1" applyFont="1" applyFill="1" applyBorder="1" applyAlignment="1">
      <alignment horizontal="center" vertical="center"/>
    </xf>
    <xf numFmtId="0" fontId="23" fillId="37" borderId="71" xfId="1" applyFont="1" applyFill="1" applyBorder="1" applyAlignment="1">
      <alignment horizontal="center" vertical="center"/>
    </xf>
    <xf numFmtId="0" fontId="23" fillId="37" borderId="74" xfId="1" applyFont="1" applyFill="1" applyBorder="1" applyAlignment="1">
      <alignment horizontal="center" vertical="center"/>
    </xf>
    <xf numFmtId="0" fontId="4" fillId="35" borderId="10" xfId="1" applyFont="1" applyFill="1" applyBorder="1" applyAlignment="1">
      <alignment horizontal="center" vertical="center"/>
    </xf>
    <xf numFmtId="0" fontId="4" fillId="35" borderId="11" xfId="1" applyFont="1" applyFill="1" applyBorder="1" applyAlignment="1">
      <alignment horizontal="center" vertical="center"/>
    </xf>
    <xf numFmtId="0" fontId="4" fillId="35" borderId="12" xfId="1" applyFont="1" applyFill="1" applyBorder="1" applyAlignment="1">
      <alignment horizontal="center" vertical="center"/>
    </xf>
    <xf numFmtId="0" fontId="18" fillId="59" borderId="108" xfId="0" applyFont="1" applyFill="1" applyBorder="1" applyAlignment="1">
      <alignment horizontal="center" vertical="center" shrinkToFit="1"/>
    </xf>
    <xf numFmtId="0" fontId="18" fillId="59" borderId="51" xfId="0" applyFont="1" applyFill="1" applyBorder="1" applyAlignment="1">
      <alignment horizontal="center" vertical="center" shrinkToFit="1"/>
    </xf>
    <xf numFmtId="0" fontId="18" fillId="59" borderId="107" xfId="0" applyFont="1" applyFill="1" applyBorder="1" applyAlignment="1">
      <alignment horizontal="center" vertical="center" shrinkToFit="1"/>
    </xf>
    <xf numFmtId="0" fontId="18" fillId="60" borderId="51" xfId="0" applyFont="1" applyFill="1" applyBorder="1" applyAlignment="1">
      <alignment horizontal="center" vertical="center" shrinkToFit="1"/>
    </xf>
    <xf numFmtId="0" fontId="18" fillId="60" borderId="54" xfId="0" applyFont="1" applyFill="1" applyBorder="1" applyAlignment="1">
      <alignment horizontal="center" vertical="center" shrinkToFit="1"/>
    </xf>
    <xf numFmtId="0" fontId="18" fillId="58" borderId="55" xfId="0" applyFont="1" applyFill="1" applyBorder="1" applyAlignment="1">
      <alignment horizontal="center" vertical="center" shrinkToFit="1"/>
    </xf>
    <xf numFmtId="0" fontId="18" fillId="58" borderId="51" xfId="0" applyFont="1" applyFill="1" applyBorder="1" applyAlignment="1">
      <alignment horizontal="center" vertical="center" shrinkToFit="1"/>
    </xf>
    <xf numFmtId="0" fontId="18" fillId="58" borderId="107" xfId="0" applyFont="1" applyFill="1" applyBorder="1" applyAlignment="1">
      <alignment horizontal="center" vertical="center" shrinkToFit="1"/>
    </xf>
    <xf numFmtId="0" fontId="18" fillId="24" borderId="108" xfId="0" applyFont="1" applyFill="1" applyBorder="1" applyAlignment="1">
      <alignment horizontal="center" vertical="center" shrinkToFit="1"/>
    </xf>
    <xf numFmtId="0" fontId="18" fillId="24" borderId="51" xfId="0" applyFont="1" applyFill="1" applyBorder="1" applyAlignment="1">
      <alignment horizontal="center" vertical="center" shrinkToFit="1"/>
    </xf>
    <xf numFmtId="0" fontId="18" fillId="24" borderId="107" xfId="0" applyFont="1" applyFill="1" applyBorder="1" applyAlignment="1">
      <alignment horizontal="center" vertical="center" shrinkToFit="1"/>
    </xf>
    <xf numFmtId="0" fontId="18" fillId="25" borderId="108" xfId="0" applyFont="1" applyFill="1" applyBorder="1" applyAlignment="1">
      <alignment horizontal="center" vertical="center" shrinkToFit="1"/>
    </xf>
    <xf numFmtId="0" fontId="18" fillId="25" borderId="51" xfId="0" applyFont="1" applyFill="1" applyBorder="1" applyAlignment="1">
      <alignment horizontal="center" vertical="center" shrinkToFit="1"/>
    </xf>
    <xf numFmtId="0" fontId="18" fillId="25" borderId="107" xfId="0" applyFont="1" applyFill="1" applyBorder="1" applyAlignment="1">
      <alignment horizontal="center" vertical="center" shrinkToFit="1"/>
    </xf>
    <xf numFmtId="0" fontId="18" fillId="26" borderId="108" xfId="0" applyFont="1" applyFill="1" applyBorder="1" applyAlignment="1">
      <alignment horizontal="center" vertical="center" shrinkToFit="1"/>
    </xf>
    <xf numFmtId="0" fontId="18" fillId="26" borderId="51" xfId="0" applyFont="1" applyFill="1" applyBorder="1" applyAlignment="1">
      <alignment horizontal="center" vertical="center" shrinkToFit="1"/>
    </xf>
    <xf numFmtId="0" fontId="18" fillId="26" borderId="107" xfId="0" applyFont="1" applyFill="1" applyBorder="1" applyAlignment="1">
      <alignment horizontal="center" vertical="center" shrinkToFit="1"/>
    </xf>
    <xf numFmtId="0" fontId="18" fillId="57" borderId="67" xfId="0" applyFont="1" applyFill="1" applyBorder="1" applyAlignment="1">
      <alignment horizontal="center" vertical="center" shrinkToFit="1"/>
    </xf>
    <xf numFmtId="0" fontId="18" fillId="57" borderId="70" xfId="0" applyFont="1" applyFill="1" applyBorder="1" applyAlignment="1">
      <alignment horizontal="center" vertical="center" shrinkToFit="1"/>
    </xf>
    <xf numFmtId="0" fontId="18" fillId="57" borderId="72" xfId="0" applyFont="1" applyFill="1" applyBorder="1" applyAlignment="1">
      <alignment horizontal="center" vertical="center" shrinkToFit="1"/>
    </xf>
    <xf numFmtId="0" fontId="18" fillId="57" borderId="97" xfId="0" applyFont="1" applyFill="1" applyBorder="1" applyAlignment="1">
      <alignment horizontal="center" vertical="center" shrinkToFit="1"/>
    </xf>
    <xf numFmtId="0" fontId="18" fillId="57" borderId="32" xfId="0" applyFont="1" applyFill="1" applyBorder="1" applyAlignment="1">
      <alignment horizontal="center" vertical="center" shrinkToFit="1"/>
    </xf>
    <xf numFmtId="0" fontId="18" fillId="57" borderId="98" xfId="0" applyFont="1" applyFill="1" applyBorder="1" applyAlignment="1">
      <alignment horizontal="center" vertical="center" shrinkToFit="1"/>
    </xf>
    <xf numFmtId="0" fontId="26" fillId="58" borderId="55" xfId="0" applyFont="1" applyFill="1" applyBorder="1" applyAlignment="1">
      <alignment horizontal="center" vertical="center"/>
    </xf>
    <xf numFmtId="0" fontId="26" fillId="58" borderId="66" xfId="0" applyFont="1" applyFill="1" applyBorder="1" applyAlignment="1">
      <alignment horizontal="center" vertical="center"/>
    </xf>
    <xf numFmtId="0" fontId="26" fillId="58" borderId="61" xfId="0" applyFont="1" applyFill="1" applyBorder="1" applyAlignment="1">
      <alignment horizontal="center" vertical="center"/>
    </xf>
    <xf numFmtId="0" fontId="26" fillId="58" borderId="54" xfId="0" applyFont="1" applyFill="1" applyBorder="1" applyAlignment="1">
      <alignment horizontal="center" vertical="center"/>
    </xf>
    <xf numFmtId="0" fontId="26" fillId="58" borderId="65" xfId="0" applyFont="1" applyFill="1" applyBorder="1" applyAlignment="1">
      <alignment horizontal="center" vertical="center"/>
    </xf>
    <xf numFmtId="0" fontId="26" fillId="58" borderId="79" xfId="0" applyFont="1" applyFill="1" applyBorder="1" applyAlignment="1">
      <alignment horizontal="center" vertical="center"/>
    </xf>
    <xf numFmtId="0" fontId="24" fillId="23" borderId="10" xfId="1" applyFont="1" applyFill="1" applyBorder="1" applyAlignment="1">
      <alignment horizontal="center" vertical="center"/>
    </xf>
    <xf numFmtId="0" fontId="24" fillId="23" borderId="11" xfId="1" applyFont="1" applyFill="1" applyBorder="1" applyAlignment="1">
      <alignment horizontal="center" vertical="center"/>
    </xf>
    <xf numFmtId="0" fontId="24" fillId="23" borderId="12" xfId="1" applyFont="1" applyFill="1" applyBorder="1" applyAlignment="1">
      <alignment horizontal="center" vertical="center"/>
    </xf>
    <xf numFmtId="0" fontId="18" fillId="53" borderId="67" xfId="0" applyFont="1" applyFill="1" applyBorder="1" applyAlignment="1">
      <alignment horizontal="center" vertical="center" shrinkToFit="1"/>
    </xf>
    <xf numFmtId="0" fontId="18" fillId="53" borderId="70" xfId="0" applyFont="1" applyFill="1" applyBorder="1" applyAlignment="1">
      <alignment horizontal="center" vertical="center" shrinkToFit="1"/>
    </xf>
    <xf numFmtId="0" fontId="18" fillId="53" borderId="72" xfId="0" applyFont="1" applyFill="1" applyBorder="1" applyAlignment="1">
      <alignment horizontal="center" vertical="center" shrinkToFit="1"/>
    </xf>
    <xf numFmtId="0" fontId="18" fillId="53" borderId="97" xfId="0" applyFont="1" applyFill="1" applyBorder="1" applyAlignment="1">
      <alignment horizontal="center" vertical="center" shrinkToFit="1"/>
    </xf>
    <xf numFmtId="0" fontId="18" fillId="53" borderId="32" xfId="0" applyFont="1" applyFill="1" applyBorder="1" applyAlignment="1">
      <alignment horizontal="center" vertical="center" shrinkToFit="1"/>
    </xf>
    <xf numFmtId="0" fontId="18" fillId="53" borderId="98" xfId="0" applyFont="1" applyFill="1" applyBorder="1" applyAlignment="1">
      <alignment horizontal="center" vertical="center" shrinkToFit="1"/>
    </xf>
    <xf numFmtId="0" fontId="18" fillId="54" borderId="67" xfId="0" applyFont="1" applyFill="1" applyBorder="1" applyAlignment="1">
      <alignment horizontal="center" vertical="center" shrinkToFit="1"/>
    </xf>
    <xf numFmtId="0" fontId="18" fillId="54" borderId="70" xfId="0" applyFont="1" applyFill="1" applyBorder="1" applyAlignment="1">
      <alignment horizontal="center" vertical="center" shrinkToFit="1"/>
    </xf>
    <xf numFmtId="0" fontId="18" fillId="54" borderId="72" xfId="0" applyFont="1" applyFill="1" applyBorder="1" applyAlignment="1">
      <alignment horizontal="center" vertical="center" shrinkToFit="1"/>
    </xf>
    <xf numFmtId="0" fontId="18" fillId="54" borderId="97" xfId="0" applyFont="1" applyFill="1" applyBorder="1" applyAlignment="1">
      <alignment horizontal="center" vertical="center" shrinkToFit="1"/>
    </xf>
    <xf numFmtId="0" fontId="18" fillId="54" borderId="32" xfId="0" applyFont="1" applyFill="1" applyBorder="1" applyAlignment="1">
      <alignment horizontal="center" vertical="center" shrinkToFit="1"/>
    </xf>
    <xf numFmtId="0" fontId="18" fillId="54" borderId="98" xfId="0" applyFont="1" applyFill="1" applyBorder="1" applyAlignment="1">
      <alignment horizontal="center" vertical="center" shrinkToFit="1"/>
    </xf>
    <xf numFmtId="0" fontId="18" fillId="55" borderId="67" xfId="0" applyFont="1" applyFill="1" applyBorder="1" applyAlignment="1">
      <alignment horizontal="center" vertical="center" shrinkToFit="1"/>
    </xf>
    <xf numFmtId="0" fontId="18" fillId="55" borderId="70" xfId="0" applyFont="1" applyFill="1" applyBorder="1" applyAlignment="1">
      <alignment horizontal="center" vertical="center" shrinkToFit="1"/>
    </xf>
    <xf numFmtId="0" fontId="18" fillId="55" borderId="72" xfId="0" applyFont="1" applyFill="1" applyBorder="1" applyAlignment="1">
      <alignment horizontal="center" vertical="center" shrinkToFit="1"/>
    </xf>
    <xf numFmtId="0" fontId="18" fillId="55" borderId="97" xfId="0" applyFont="1" applyFill="1" applyBorder="1" applyAlignment="1">
      <alignment horizontal="center" vertical="center" shrinkToFit="1"/>
    </xf>
    <xf numFmtId="0" fontId="18" fillId="55" borderId="32" xfId="0" applyFont="1" applyFill="1" applyBorder="1" applyAlignment="1">
      <alignment horizontal="center" vertical="center" shrinkToFit="1"/>
    </xf>
    <xf numFmtId="0" fontId="18" fillId="55" borderId="98" xfId="0" applyFont="1" applyFill="1" applyBorder="1" applyAlignment="1">
      <alignment horizontal="center" vertical="center" shrinkToFit="1"/>
    </xf>
    <xf numFmtId="0" fontId="18" fillId="56" borderId="67" xfId="0" applyFont="1" applyFill="1" applyBorder="1" applyAlignment="1">
      <alignment horizontal="center" vertical="center" shrinkToFit="1"/>
    </xf>
    <xf numFmtId="0" fontId="18" fillId="56" borderId="70" xfId="0" applyFont="1" applyFill="1" applyBorder="1" applyAlignment="1">
      <alignment horizontal="center" vertical="center" shrinkToFit="1"/>
    </xf>
    <xf numFmtId="0" fontId="18" fillId="56" borderId="72" xfId="0" applyFont="1" applyFill="1" applyBorder="1" applyAlignment="1">
      <alignment horizontal="center" vertical="center" shrinkToFit="1"/>
    </xf>
    <xf numFmtId="0" fontId="18" fillId="56" borderId="97" xfId="0" applyFont="1" applyFill="1" applyBorder="1" applyAlignment="1">
      <alignment horizontal="center" vertical="center" shrinkToFit="1"/>
    </xf>
    <xf numFmtId="0" fontId="18" fillId="56" borderId="32" xfId="0" applyFont="1" applyFill="1" applyBorder="1" applyAlignment="1">
      <alignment horizontal="center" vertical="center" shrinkToFit="1"/>
    </xf>
    <xf numFmtId="0" fontId="18" fillId="56" borderId="98" xfId="0" applyFont="1" applyFill="1" applyBorder="1" applyAlignment="1">
      <alignment horizontal="center" vertical="center" shrinkToFit="1"/>
    </xf>
    <xf numFmtId="0" fontId="0" fillId="7" borderId="10" xfId="0" applyFill="1" applyBorder="1" applyAlignment="1">
      <alignment horizontal="center"/>
    </xf>
    <xf numFmtId="0" fontId="0" fillId="7" borderId="12" xfId="0" applyFill="1" applyBorder="1" applyAlignment="1">
      <alignment horizontal="center"/>
    </xf>
    <xf numFmtId="0" fontId="10" fillId="7" borderId="25" xfId="1" applyFont="1" applyFill="1" applyBorder="1" applyAlignment="1">
      <alignment horizontal="center" vertical="center"/>
    </xf>
    <xf numFmtId="0" fontId="6" fillId="24" borderId="44" xfId="1" applyFont="1" applyFill="1" applyBorder="1" applyAlignment="1">
      <alignment horizontal="center" vertical="center"/>
    </xf>
    <xf numFmtId="0" fontId="6" fillId="24" borderId="22" xfId="1" applyFont="1" applyFill="1" applyBorder="1" applyAlignment="1">
      <alignment horizontal="center" vertical="center"/>
    </xf>
    <xf numFmtId="0" fontId="6" fillId="24" borderId="110" xfId="1" applyFont="1" applyFill="1" applyBorder="1" applyAlignment="1">
      <alignment horizontal="center" vertical="center"/>
    </xf>
    <xf numFmtId="0" fontId="6" fillId="24" borderId="26" xfId="1" applyFont="1" applyFill="1" applyBorder="1" applyAlignment="1">
      <alignment horizontal="center" vertical="center"/>
    </xf>
    <xf numFmtId="0" fontId="10" fillId="21" borderId="48" xfId="1" applyFont="1" applyFill="1" applyBorder="1" applyAlignment="1">
      <alignment horizontal="center" vertical="center"/>
    </xf>
    <xf numFmtId="0" fontId="10" fillId="20" borderId="25" xfId="1" applyFont="1" applyFill="1" applyBorder="1" applyAlignment="1">
      <alignment horizontal="center" vertical="center"/>
    </xf>
    <xf numFmtId="0" fontId="3" fillId="19" borderId="25" xfId="1" applyFill="1" applyBorder="1" applyAlignment="1">
      <alignment horizontal="center" vertical="center"/>
    </xf>
    <xf numFmtId="0" fontId="6" fillId="18" borderId="26" xfId="1" applyFont="1" applyFill="1" applyBorder="1" applyAlignment="1">
      <alignment horizontal="center" vertical="center"/>
    </xf>
    <xf numFmtId="0" fontId="6" fillId="18" borderId="22" xfId="1" applyFont="1" applyFill="1" applyBorder="1" applyAlignment="1">
      <alignment horizontal="center" vertical="center"/>
    </xf>
    <xf numFmtId="0" fontId="6" fillId="18" borderId="110" xfId="1" applyFont="1" applyFill="1" applyBorder="1" applyAlignment="1">
      <alignment horizontal="center" vertical="center"/>
    </xf>
    <xf numFmtId="0" fontId="6" fillId="24" borderId="111" xfId="1" applyFont="1" applyFill="1" applyBorder="1" applyAlignment="1">
      <alignment horizontal="center" vertical="center"/>
    </xf>
    <xf numFmtId="0" fontId="6" fillId="18" borderId="44" xfId="1" applyFont="1" applyFill="1" applyBorder="1" applyAlignment="1">
      <alignment horizontal="center" vertical="center"/>
    </xf>
    <xf numFmtId="0" fontId="6" fillId="18" borderId="111" xfId="1" applyFont="1" applyFill="1" applyBorder="1" applyAlignment="1">
      <alignment horizontal="center" vertical="center"/>
    </xf>
    <xf numFmtId="0" fontId="6" fillId="11" borderId="44" xfId="1" applyFont="1" applyFill="1" applyBorder="1" applyAlignment="1">
      <alignment horizontal="center" vertical="center"/>
    </xf>
    <xf numFmtId="0" fontId="6" fillId="11" borderId="22" xfId="1" applyFont="1" applyFill="1" applyBorder="1" applyAlignment="1">
      <alignment horizontal="center" vertical="center"/>
    </xf>
    <xf numFmtId="0" fontId="6" fillId="11" borderId="110" xfId="1" applyFont="1" applyFill="1" applyBorder="1" applyAlignment="1">
      <alignment horizontal="center" vertical="center"/>
    </xf>
    <xf numFmtId="0" fontId="6" fillId="11" borderId="26" xfId="1" applyFont="1" applyFill="1" applyBorder="1" applyAlignment="1">
      <alignment horizontal="center" vertical="center"/>
    </xf>
    <xf numFmtId="0" fontId="27" fillId="30" borderId="26" xfId="1" applyFont="1" applyFill="1" applyBorder="1" applyAlignment="1">
      <alignment horizontal="center" vertical="center"/>
    </xf>
    <xf numFmtId="0" fontId="27" fillId="30" borderId="22" xfId="1" applyFont="1" applyFill="1" applyBorder="1" applyAlignment="1">
      <alignment horizontal="center" vertical="center"/>
    </xf>
    <xf numFmtId="0" fontId="27" fillId="30" borderId="110" xfId="1" applyFont="1" applyFill="1" applyBorder="1" applyAlignment="1">
      <alignment horizontal="center" vertical="center"/>
    </xf>
    <xf numFmtId="0" fontId="6" fillId="11" borderId="111" xfId="1" applyFont="1" applyFill="1" applyBorder="1" applyAlignment="1">
      <alignment horizontal="center" vertical="center"/>
    </xf>
    <xf numFmtId="0" fontId="27" fillId="30" borderId="44" xfId="1" applyFont="1" applyFill="1" applyBorder="1" applyAlignment="1">
      <alignment horizontal="center" vertical="center"/>
    </xf>
    <xf numFmtId="0" fontId="27" fillId="30" borderId="111" xfId="1" applyFont="1" applyFill="1" applyBorder="1" applyAlignment="1">
      <alignment horizontal="center" vertical="center"/>
    </xf>
    <xf numFmtId="0" fontId="27" fillId="42" borderId="44" xfId="1" applyFont="1" applyFill="1" applyBorder="1" applyAlignment="1">
      <alignment horizontal="center" vertical="center"/>
    </xf>
    <xf numFmtId="0" fontId="27" fillId="42" borderId="22" xfId="1" applyFont="1" applyFill="1" applyBorder="1" applyAlignment="1">
      <alignment horizontal="center" vertical="center"/>
    </xf>
    <xf numFmtId="0" fontId="27" fillId="42" borderId="110" xfId="1" applyFont="1" applyFill="1" applyBorder="1" applyAlignment="1">
      <alignment horizontal="center" vertical="center"/>
    </xf>
    <xf numFmtId="0" fontId="27" fillId="42" borderId="26" xfId="1" applyFont="1" applyFill="1" applyBorder="1" applyAlignment="1">
      <alignment horizontal="center" vertical="center"/>
    </xf>
    <xf numFmtId="0" fontId="27" fillId="36" borderId="26" xfId="1" applyFont="1" applyFill="1" applyBorder="1" applyAlignment="1">
      <alignment horizontal="center" vertical="center"/>
    </xf>
    <xf numFmtId="0" fontId="27" fillId="36" borderId="22" xfId="1" applyFont="1" applyFill="1" applyBorder="1" applyAlignment="1">
      <alignment horizontal="center" vertical="center"/>
    </xf>
    <xf numFmtId="0" fontId="27" fillId="36" borderId="110" xfId="1" applyFont="1" applyFill="1" applyBorder="1" applyAlignment="1">
      <alignment horizontal="center" vertical="center"/>
    </xf>
    <xf numFmtId="0" fontId="27" fillId="42" borderId="111" xfId="1" applyFont="1" applyFill="1" applyBorder="1" applyAlignment="1">
      <alignment horizontal="center" vertical="center"/>
    </xf>
    <xf numFmtId="0" fontId="27" fillId="36" borderId="44" xfId="1" applyFont="1" applyFill="1" applyBorder="1" applyAlignment="1">
      <alignment horizontal="center" vertical="center"/>
    </xf>
    <xf numFmtId="0" fontId="27" fillId="36" borderId="111" xfId="1" applyFont="1" applyFill="1" applyBorder="1" applyAlignment="1">
      <alignment horizontal="center" vertical="center"/>
    </xf>
    <xf numFmtId="0" fontId="8" fillId="0" borderId="11" xfId="1" applyFont="1" applyBorder="1" applyAlignment="1">
      <alignment horizontal="center" vertical="center"/>
    </xf>
    <xf numFmtId="0" fontId="2" fillId="0" borderId="0" xfId="0" applyFont="1" applyAlignment="1">
      <alignment horizontal="center"/>
    </xf>
  </cellXfs>
  <cellStyles count="3">
    <cellStyle name="Hyperlink" xfId="2" builtinId="8"/>
    <cellStyle name="Normal" xfId="0" builtinId="0"/>
    <cellStyle name="Normal 2" xfId="1" xr:uid="{D0746557-B69A-3143-B4C4-F530B3D0EBDF}"/>
  </cellStyles>
  <dxfs count="0"/>
  <tableStyles count="0" defaultTableStyle="TableStyleMedium2" defaultPivotStyle="PivotStyleLight16"/>
  <colors>
    <mruColors>
      <color rgb="FFFAE37B"/>
      <color rgb="FFFFCA0A"/>
      <color rgb="FFACDAFA"/>
      <color rgb="FF808080"/>
      <color rgb="FF404040"/>
      <color rgb="FFFDD230"/>
      <color rgb="FFFCDA55"/>
      <color rgb="FFFFA9E8"/>
      <color rgb="FFFF95E4"/>
      <color rgb="FFFF81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Gene 1 - Each Replicate Individually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'Bar Graphs_1'!$B$16:$B$18</c:f>
              <c:strCache>
                <c:ptCount val="3"/>
                <c:pt idx="0">
                  <c:v>WT 24h</c:v>
                </c:pt>
              </c:strCache>
            </c:strRef>
          </c:tx>
          <c:spPr>
            <a:solidFill>
              <a:schemeClr val="accent4">
                <a:shade val="50000"/>
              </a:schemeClr>
            </a:solidFill>
            <a:ln w="12700">
              <a:solidFill>
                <a:schemeClr val="tx1"/>
              </a:solidFill>
            </a:ln>
            <a:effectLst/>
          </c:spPr>
          <c:invertIfNegative val="0"/>
          <c:val>
            <c:numRef>
              <c:f>'Bar Graphs_1'!$D$16:$D$18</c:f>
              <c:numCache>
                <c:formatCode>General</c:formatCode>
                <c:ptCount val="3"/>
                <c:pt idx="0">
                  <c:v>1.0649768848279992</c:v>
                </c:pt>
                <c:pt idx="1">
                  <c:v>1.0285399563027453</c:v>
                </c:pt>
                <c:pt idx="2">
                  <c:v>0.91293246367781822</c:v>
                </c:pt>
              </c:numCache>
            </c:numRef>
          </c:val>
          <c:extLst>
            <c:ext xmlns:c16="http://schemas.microsoft.com/office/drawing/2014/chart" uri="{C3380CC4-5D6E-409C-BE32-E72D297353CC}">
              <c16:uniqueId val="{00000000-618B-7347-92E8-40893A67A5A5}"/>
            </c:ext>
          </c:extLst>
        </c:ser>
        <c:ser>
          <c:idx val="1"/>
          <c:order val="1"/>
          <c:tx>
            <c:strRef>
              <c:f>'Bar Graphs_1'!$B$19:$B$21</c:f>
              <c:strCache>
                <c:ptCount val="3"/>
                <c:pt idx="0">
                  <c:v>Set 1 24h</c:v>
                </c:pt>
              </c:strCache>
            </c:strRef>
          </c:tx>
          <c:spPr>
            <a:solidFill>
              <a:schemeClr val="accent4">
                <a:shade val="70000"/>
              </a:schemeClr>
            </a:solidFill>
            <a:ln w="12700">
              <a:solidFill>
                <a:schemeClr val="tx1"/>
              </a:solidFill>
            </a:ln>
            <a:effectLst/>
          </c:spPr>
          <c:invertIfNegative val="0"/>
          <c:val>
            <c:numRef>
              <c:f>'Bar Graphs_1'!$D$19:$D$21</c:f>
              <c:numCache>
                <c:formatCode>General</c:formatCode>
                <c:ptCount val="3"/>
                <c:pt idx="0">
                  <c:v>0.41645960643024144</c:v>
                </c:pt>
                <c:pt idx="1">
                  <c:v>0.22882517416806944</c:v>
                </c:pt>
                <c:pt idx="2">
                  <c:v>0.22624804071495339</c:v>
                </c:pt>
              </c:numCache>
            </c:numRef>
          </c:val>
          <c:extLst>
            <c:ext xmlns:c16="http://schemas.microsoft.com/office/drawing/2014/chart" uri="{C3380CC4-5D6E-409C-BE32-E72D297353CC}">
              <c16:uniqueId val="{00000001-618B-7347-92E8-40893A67A5A5}"/>
            </c:ext>
          </c:extLst>
        </c:ser>
        <c:ser>
          <c:idx val="2"/>
          <c:order val="2"/>
          <c:tx>
            <c:strRef>
              <c:f>'Bar Graphs_1'!$B$22:$B$24</c:f>
              <c:strCache>
                <c:ptCount val="3"/>
                <c:pt idx="0">
                  <c:v>Set 2 24h</c:v>
                </c:pt>
              </c:strCache>
            </c:strRef>
          </c:tx>
          <c:spPr>
            <a:solidFill>
              <a:schemeClr val="accent4">
                <a:shade val="90000"/>
              </a:schemeClr>
            </a:solidFill>
            <a:ln w="12700">
              <a:solidFill>
                <a:schemeClr val="tx1"/>
              </a:solidFill>
            </a:ln>
            <a:effectLst/>
          </c:spPr>
          <c:invertIfNegative val="0"/>
          <c:val>
            <c:numRef>
              <c:f>'Bar Graphs_1'!$D$22:$D$24</c:f>
              <c:numCache>
                <c:formatCode>General</c:formatCode>
                <c:ptCount val="3"/>
                <c:pt idx="0">
                  <c:v>0.18184729533706392</c:v>
                </c:pt>
                <c:pt idx="1">
                  <c:v>0.28511556899167234</c:v>
                </c:pt>
                <c:pt idx="2">
                  <c:v>0.18354681961763783</c:v>
                </c:pt>
              </c:numCache>
            </c:numRef>
          </c:val>
          <c:extLst>
            <c:ext xmlns:c16="http://schemas.microsoft.com/office/drawing/2014/chart" uri="{C3380CC4-5D6E-409C-BE32-E72D297353CC}">
              <c16:uniqueId val="{00000002-618B-7347-92E8-40893A67A5A5}"/>
            </c:ext>
          </c:extLst>
        </c:ser>
        <c:ser>
          <c:idx val="3"/>
          <c:order val="3"/>
          <c:tx>
            <c:strRef>
              <c:f>'Bar Graphs_1'!$B$25:$B$27</c:f>
              <c:strCache>
                <c:ptCount val="3"/>
                <c:pt idx="0">
                  <c:v>Set 4 24h</c:v>
                </c:pt>
              </c:strCache>
            </c:strRef>
          </c:tx>
          <c:spPr>
            <a:solidFill>
              <a:schemeClr val="accent4">
                <a:tint val="90000"/>
              </a:schemeClr>
            </a:solidFill>
            <a:ln w="12700">
              <a:solidFill>
                <a:schemeClr val="tx1"/>
              </a:solidFill>
            </a:ln>
            <a:effectLst/>
          </c:spPr>
          <c:invertIfNegative val="0"/>
          <c:val>
            <c:numRef>
              <c:f>'Bar Graphs_1'!$D$25:$D$27</c:f>
              <c:numCache>
                <c:formatCode>General</c:formatCode>
                <c:ptCount val="3"/>
                <c:pt idx="0">
                  <c:v>0.20897491955851222</c:v>
                </c:pt>
                <c:pt idx="1">
                  <c:v>0.19003515898692047</c:v>
                </c:pt>
                <c:pt idx="2">
                  <c:v>0.23706942787035645</c:v>
                </c:pt>
              </c:numCache>
            </c:numRef>
          </c:val>
          <c:extLst>
            <c:ext xmlns:c16="http://schemas.microsoft.com/office/drawing/2014/chart" uri="{C3380CC4-5D6E-409C-BE32-E72D297353CC}">
              <c16:uniqueId val="{00000003-618B-7347-92E8-40893A67A5A5}"/>
            </c:ext>
          </c:extLst>
        </c:ser>
        <c:ser>
          <c:idx val="4"/>
          <c:order val="4"/>
          <c:tx>
            <c:strRef>
              <c:f>'Bar Graphs_1'!$B$28:$B$30</c:f>
              <c:strCache>
                <c:ptCount val="3"/>
                <c:pt idx="0">
                  <c:v>Set 5 24h</c:v>
                </c:pt>
              </c:strCache>
            </c:strRef>
          </c:tx>
          <c:spPr>
            <a:solidFill>
              <a:schemeClr val="accent4">
                <a:tint val="70000"/>
              </a:schemeClr>
            </a:solidFill>
            <a:ln w="12700">
              <a:solidFill>
                <a:schemeClr val="tx1"/>
              </a:solidFill>
            </a:ln>
            <a:effectLst/>
          </c:spPr>
          <c:invertIfNegative val="0"/>
          <c:val>
            <c:numRef>
              <c:f>'Bar Graphs_1'!$D$28:$D$30</c:f>
              <c:numCache>
                <c:formatCode>General</c:formatCode>
                <c:ptCount val="3"/>
                <c:pt idx="0">
                  <c:v>0.73749426602714252</c:v>
                </c:pt>
                <c:pt idx="1">
                  <c:v>0.59975175196635033</c:v>
                </c:pt>
                <c:pt idx="2">
                  <c:v>0.41010839334156768</c:v>
                </c:pt>
              </c:numCache>
            </c:numRef>
          </c:val>
          <c:extLst>
            <c:ext xmlns:c16="http://schemas.microsoft.com/office/drawing/2014/chart" uri="{C3380CC4-5D6E-409C-BE32-E72D297353CC}">
              <c16:uniqueId val="{00000004-618B-7347-92E8-40893A67A5A5}"/>
            </c:ext>
          </c:extLst>
        </c:ser>
        <c:ser>
          <c:idx val="5"/>
          <c:order val="5"/>
          <c:tx>
            <c:strRef>
              <c:f>'Bar Graphs_1'!$B$31:$B$33</c:f>
              <c:strCache>
                <c:ptCount val="3"/>
                <c:pt idx="0">
                  <c:v>GFP 24h</c:v>
                </c:pt>
              </c:strCache>
            </c:strRef>
          </c:tx>
          <c:spPr>
            <a:solidFill>
              <a:schemeClr val="accent4">
                <a:tint val="50000"/>
              </a:schemeClr>
            </a:solidFill>
            <a:ln w="12700">
              <a:solidFill>
                <a:schemeClr val="tx1"/>
              </a:solidFill>
            </a:ln>
            <a:effectLst/>
          </c:spPr>
          <c:invertIfNegative val="0"/>
          <c:val>
            <c:numRef>
              <c:f>'Bar Graphs_1'!$D$31:$D$33</c:f>
              <c:numCache>
                <c:formatCode>General</c:formatCode>
                <c:ptCount val="3"/>
                <c:pt idx="0">
                  <c:v>0.35605176271569849</c:v>
                </c:pt>
                <c:pt idx="1">
                  <c:v>0.71031173355441313</c:v>
                </c:pt>
                <c:pt idx="2">
                  <c:v>0.50476947882741152</c:v>
                </c:pt>
              </c:numCache>
            </c:numRef>
          </c:val>
          <c:extLst>
            <c:ext xmlns:c16="http://schemas.microsoft.com/office/drawing/2014/chart" uri="{C3380CC4-5D6E-409C-BE32-E72D297353CC}">
              <c16:uniqueId val="{00000005-618B-7347-92E8-40893A67A5A5}"/>
            </c:ext>
          </c:extLst>
        </c:ser>
        <c:dLbls>
          <c:showLegendKey val="0"/>
          <c:showVal val="0"/>
          <c:showCatName val="0"/>
          <c:showSerName val="0"/>
          <c:showPercent val="0"/>
          <c:showBubbleSize val="0"/>
        </c:dLbls>
        <c:gapWidth val="219"/>
        <c:overlap val="-27"/>
        <c:axId val="682610624"/>
        <c:axId val="682617792"/>
      </c:barChart>
      <c:catAx>
        <c:axId val="68261062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50" b="0">
                    <a:solidFill>
                      <a:schemeClr val="tx1"/>
                    </a:solidFill>
                    <a:latin typeface="Times New Roman" panose="02020603050405020304" pitchFamily="18" charset="0"/>
                    <a:cs typeface="Times New Roman" panose="02020603050405020304" pitchFamily="18" charset="0"/>
                  </a:rPr>
                  <a:t>Discriminating</a:t>
                </a:r>
                <a:r>
                  <a:rPr lang="en-US" sz="1050" b="0" baseline="0">
                    <a:solidFill>
                      <a:schemeClr val="tx1"/>
                    </a:solidFill>
                    <a:latin typeface="Times New Roman" panose="02020603050405020304" pitchFamily="18" charset="0"/>
                    <a:cs typeface="Times New Roman" panose="02020603050405020304" pitchFamily="18" charset="0"/>
                  </a:rPr>
                  <a:t> Factor (ex. Timepoint etc)</a:t>
                </a:r>
                <a:endParaRPr lang="en-US" sz="1050" b="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majorTickMark val="none"/>
        <c:minorTickMark val="out"/>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82617792"/>
        <c:crosses val="autoZero"/>
        <c:auto val="1"/>
        <c:lblAlgn val="ctr"/>
        <c:lblOffset val="100"/>
        <c:noMultiLvlLbl val="0"/>
      </c:catAx>
      <c:valAx>
        <c:axId val="682617792"/>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50" b="1" i="1">
                    <a:solidFill>
                      <a:schemeClr val="tx1"/>
                    </a:solidFill>
                    <a:latin typeface="Times New Roman" panose="02020603050405020304" pitchFamily="18" charset="0"/>
                    <a:cs typeface="Times New Roman" panose="02020603050405020304" pitchFamily="18" charset="0"/>
                  </a:rPr>
                  <a:t>c-MET</a:t>
                </a:r>
                <a:r>
                  <a:rPr lang="en-US" sz="1050" b="1" i="1" baseline="0">
                    <a:solidFill>
                      <a:schemeClr val="tx1"/>
                    </a:solidFill>
                    <a:latin typeface="Times New Roman" panose="02020603050405020304" pitchFamily="18" charset="0"/>
                    <a:cs typeface="Times New Roman" panose="02020603050405020304" pitchFamily="18" charset="0"/>
                  </a:rPr>
                  <a:t> 2</a:t>
                </a:r>
                <a:r>
                  <a:rPr lang="en-US" sz="1050" b="1" i="1" baseline="30000">
                    <a:solidFill>
                      <a:schemeClr val="tx1"/>
                    </a:solidFill>
                    <a:latin typeface="Times New Roman" panose="02020603050405020304" pitchFamily="18" charset="0"/>
                    <a:cs typeface="Times New Roman" panose="02020603050405020304" pitchFamily="18" charset="0"/>
                  </a:rPr>
                  <a:t>-∆∆CT</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8261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baseline="0">
                <a:solidFill>
                  <a:schemeClr val="tx1"/>
                </a:solidFill>
                <a:latin typeface="Times New Roman" panose="02020603050405020304" pitchFamily="18" charset="0"/>
                <a:cs typeface="Times New Roman" panose="02020603050405020304" pitchFamily="18" charset="0"/>
              </a:rPr>
              <a:t>Gene 1 - Averages, SD, Individual points</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rgbClr val="99C6F1"/>
            </a:solidFill>
            <a:ln>
              <a:solidFill>
                <a:schemeClr val="tx1"/>
              </a:solidFill>
            </a:ln>
            <a:effectLst/>
          </c:spPr>
          <c:invertIfNegative val="0"/>
          <c:errBars>
            <c:errBarType val="both"/>
            <c:errValType val="cust"/>
            <c:noEndCap val="0"/>
            <c:plus>
              <c:numRef>
                <c:f>'Bar Graphs_1'!$I$22:$N$22</c:f>
                <c:numCache>
                  <c:formatCode>General</c:formatCode>
                  <c:ptCount val="6"/>
                  <c:pt idx="0">
                    <c:v>7.9383298111410747E-2</c:v>
                  </c:pt>
                  <c:pt idx="1">
                    <c:v>0.10908235537049071</c:v>
                  </c:pt>
                  <c:pt idx="2">
                    <c:v>5.9137460738786132E-2</c:v>
                  </c:pt>
                  <c:pt idx="3">
                    <c:v>2.3665158557088593E-2</c:v>
                  </c:pt>
                  <c:pt idx="4">
                    <c:v>0.16437716451521414</c:v>
                  </c:pt>
                  <c:pt idx="5">
                    <c:v>0.17788793499578642</c:v>
                  </c:pt>
                </c:numCache>
              </c:numRef>
            </c:plus>
            <c:minus>
              <c:numRef>
                <c:f>'Bar Graphs_1'!$I$22:$N$22</c:f>
                <c:numCache>
                  <c:formatCode>General</c:formatCode>
                  <c:ptCount val="6"/>
                  <c:pt idx="0">
                    <c:v>7.9383298111410747E-2</c:v>
                  </c:pt>
                  <c:pt idx="1">
                    <c:v>0.10908235537049071</c:v>
                  </c:pt>
                  <c:pt idx="2">
                    <c:v>5.9137460738786132E-2</c:v>
                  </c:pt>
                  <c:pt idx="3">
                    <c:v>2.3665158557088593E-2</c:v>
                  </c:pt>
                  <c:pt idx="4">
                    <c:v>0.16437716451521414</c:v>
                  </c:pt>
                  <c:pt idx="5">
                    <c:v>0.17788793499578642</c:v>
                  </c:pt>
                </c:numCache>
              </c:numRef>
            </c:minus>
            <c:spPr>
              <a:noFill/>
              <a:ln w="9525" cap="flat" cmpd="sng" algn="ctr">
                <a:solidFill>
                  <a:schemeClr val="tx1"/>
                </a:solidFill>
                <a:round/>
              </a:ln>
              <a:effectLst/>
            </c:spPr>
          </c:errBars>
          <c:cat>
            <c:strRef>
              <c:f>'Bar Graphs_1'!$I$20:$N$20</c:f>
              <c:strCache>
                <c:ptCount val="6"/>
                <c:pt idx="0">
                  <c:v>WT 24h</c:v>
                </c:pt>
                <c:pt idx="1">
                  <c:v>Set 1 24h</c:v>
                </c:pt>
                <c:pt idx="2">
                  <c:v>Set 2 24h</c:v>
                </c:pt>
                <c:pt idx="3">
                  <c:v>Set 4 24h</c:v>
                </c:pt>
                <c:pt idx="4">
                  <c:v>Set 5 24h</c:v>
                </c:pt>
                <c:pt idx="5">
                  <c:v>GFP 24h</c:v>
                </c:pt>
              </c:strCache>
            </c:strRef>
          </c:cat>
          <c:val>
            <c:numRef>
              <c:f>'Bar Graphs_1'!$I$21:$N$21</c:f>
              <c:numCache>
                <c:formatCode>General</c:formatCode>
                <c:ptCount val="6"/>
                <c:pt idx="0">
                  <c:v>1.0021497682695211</c:v>
                </c:pt>
                <c:pt idx="1">
                  <c:v>0.29051094043775477</c:v>
                </c:pt>
                <c:pt idx="2">
                  <c:v>0.21683656131545803</c:v>
                </c:pt>
                <c:pt idx="3">
                  <c:v>0.21202650213859639</c:v>
                </c:pt>
                <c:pt idx="4">
                  <c:v>0.58245147044502021</c:v>
                </c:pt>
                <c:pt idx="5">
                  <c:v>0.52371099169917434</c:v>
                </c:pt>
              </c:numCache>
            </c:numRef>
          </c:val>
          <c:extLst>
            <c:ext xmlns:c16="http://schemas.microsoft.com/office/drawing/2014/chart" uri="{C3380CC4-5D6E-409C-BE32-E72D297353CC}">
              <c16:uniqueId val="{00000000-93F7-F541-AD08-2496159B91BA}"/>
            </c:ext>
          </c:extLst>
        </c:ser>
        <c:dLbls>
          <c:showLegendKey val="0"/>
          <c:showVal val="0"/>
          <c:showCatName val="0"/>
          <c:showSerName val="0"/>
          <c:showPercent val="0"/>
          <c:showBubbleSize val="0"/>
        </c:dLbls>
        <c:gapWidth val="78"/>
        <c:overlap val="-57"/>
        <c:axId val="618561536"/>
        <c:axId val="548370880"/>
      </c:barChart>
      <c:scatterChart>
        <c:scatterStyle val="lineMarker"/>
        <c:varyColors val="0"/>
        <c:ser>
          <c:idx val="1"/>
          <c:order val="1"/>
          <c:tx>
            <c:strRef>
              <c:f>'Bar Graphs_1'!$I$15</c:f>
              <c:strCache>
                <c:ptCount val="1"/>
                <c:pt idx="0">
                  <c:v>WT 24h</c:v>
                </c:pt>
              </c:strCache>
            </c:strRef>
          </c:tx>
          <c:spPr>
            <a:ln w="25400" cap="rnd">
              <a:noFill/>
              <a:round/>
            </a:ln>
            <a:effectLst/>
          </c:spPr>
          <c:marker>
            <c:symbol val="circle"/>
            <c:size val="3"/>
            <c:spPr>
              <a:solidFill>
                <a:schemeClr val="bg1"/>
              </a:solidFill>
              <a:ln w="9525">
                <a:solidFill>
                  <a:schemeClr val="tx1"/>
                </a:solidFill>
              </a:ln>
              <a:effectLst/>
            </c:spPr>
          </c:marker>
          <c:xVal>
            <c:numRef>
              <c:f>'Bar Graphs_1'!$H$16:$H$18</c:f>
              <c:numCache>
                <c:formatCode>General</c:formatCode>
                <c:ptCount val="3"/>
                <c:pt idx="0">
                  <c:v>1.002</c:v>
                </c:pt>
                <c:pt idx="1">
                  <c:v>1.002</c:v>
                </c:pt>
                <c:pt idx="2">
                  <c:v>1.002</c:v>
                </c:pt>
              </c:numCache>
            </c:numRef>
          </c:xVal>
          <c:yVal>
            <c:numRef>
              <c:f>'Bar Graphs_1'!$I$16:$I$18</c:f>
              <c:numCache>
                <c:formatCode>General</c:formatCode>
                <c:ptCount val="3"/>
                <c:pt idx="0">
                  <c:v>1.0649768848279992</c:v>
                </c:pt>
                <c:pt idx="1">
                  <c:v>1.0285399563027453</c:v>
                </c:pt>
                <c:pt idx="2">
                  <c:v>0.91293246367781822</c:v>
                </c:pt>
              </c:numCache>
            </c:numRef>
          </c:yVal>
          <c:smooth val="0"/>
          <c:extLst>
            <c:ext xmlns:c16="http://schemas.microsoft.com/office/drawing/2014/chart" uri="{C3380CC4-5D6E-409C-BE32-E72D297353CC}">
              <c16:uniqueId val="{00000001-93F7-F541-AD08-2496159B91BA}"/>
            </c:ext>
          </c:extLst>
        </c:ser>
        <c:ser>
          <c:idx val="2"/>
          <c:order val="2"/>
          <c:tx>
            <c:strRef>
              <c:f>'Bar Graphs_1'!$K$15</c:f>
              <c:strCache>
                <c:ptCount val="1"/>
                <c:pt idx="0">
                  <c:v>Set 1 24h</c:v>
                </c:pt>
              </c:strCache>
            </c:strRef>
          </c:tx>
          <c:spPr>
            <a:ln w="25400" cap="rnd">
              <a:noFill/>
              <a:round/>
            </a:ln>
            <a:effectLst/>
          </c:spPr>
          <c:marker>
            <c:symbol val="circle"/>
            <c:size val="3"/>
            <c:spPr>
              <a:solidFill>
                <a:schemeClr val="bg1"/>
              </a:solidFill>
              <a:ln w="9525">
                <a:solidFill>
                  <a:schemeClr val="tx1"/>
                </a:solidFill>
              </a:ln>
              <a:effectLst/>
            </c:spPr>
          </c:marker>
          <c:xVal>
            <c:numRef>
              <c:f>'Bar Graphs_1'!$J$16:$J$18</c:f>
              <c:numCache>
                <c:formatCode>General</c:formatCode>
                <c:ptCount val="3"/>
                <c:pt idx="0">
                  <c:v>2.0019999999999998</c:v>
                </c:pt>
                <c:pt idx="1">
                  <c:v>2.0019999999999998</c:v>
                </c:pt>
                <c:pt idx="2">
                  <c:v>2.0019999999999998</c:v>
                </c:pt>
              </c:numCache>
            </c:numRef>
          </c:xVal>
          <c:yVal>
            <c:numRef>
              <c:f>'Bar Graphs_1'!$K$16:$K$18</c:f>
              <c:numCache>
                <c:formatCode>General</c:formatCode>
                <c:ptCount val="3"/>
                <c:pt idx="0">
                  <c:v>0.41645960643024144</c:v>
                </c:pt>
                <c:pt idx="1">
                  <c:v>0.22882517416806944</c:v>
                </c:pt>
                <c:pt idx="2">
                  <c:v>0.22624804071495339</c:v>
                </c:pt>
              </c:numCache>
            </c:numRef>
          </c:yVal>
          <c:smooth val="0"/>
          <c:extLst>
            <c:ext xmlns:c16="http://schemas.microsoft.com/office/drawing/2014/chart" uri="{C3380CC4-5D6E-409C-BE32-E72D297353CC}">
              <c16:uniqueId val="{00000002-93F7-F541-AD08-2496159B91BA}"/>
            </c:ext>
          </c:extLst>
        </c:ser>
        <c:ser>
          <c:idx val="3"/>
          <c:order val="3"/>
          <c:tx>
            <c:strRef>
              <c:f>'Bar Graphs_1'!$M$15</c:f>
              <c:strCache>
                <c:ptCount val="1"/>
                <c:pt idx="0">
                  <c:v>Set 2 24h</c:v>
                </c:pt>
              </c:strCache>
            </c:strRef>
          </c:tx>
          <c:spPr>
            <a:ln w="25400" cap="rnd">
              <a:noFill/>
              <a:round/>
            </a:ln>
            <a:effectLst/>
          </c:spPr>
          <c:marker>
            <c:symbol val="circle"/>
            <c:size val="3"/>
            <c:spPr>
              <a:solidFill>
                <a:schemeClr val="bg1"/>
              </a:solidFill>
              <a:ln w="9525">
                <a:solidFill>
                  <a:schemeClr val="tx1"/>
                </a:solidFill>
              </a:ln>
              <a:effectLst/>
            </c:spPr>
          </c:marker>
          <c:xVal>
            <c:numRef>
              <c:f>'Bar Graphs_1'!$L$16:$L$18</c:f>
              <c:numCache>
                <c:formatCode>General</c:formatCode>
                <c:ptCount val="3"/>
                <c:pt idx="0">
                  <c:v>3.0019999999999998</c:v>
                </c:pt>
                <c:pt idx="1">
                  <c:v>3.0019999999999998</c:v>
                </c:pt>
                <c:pt idx="2">
                  <c:v>3.0019999999999998</c:v>
                </c:pt>
              </c:numCache>
            </c:numRef>
          </c:xVal>
          <c:yVal>
            <c:numRef>
              <c:f>'Bar Graphs_1'!$M$16:$M$18</c:f>
              <c:numCache>
                <c:formatCode>General</c:formatCode>
                <c:ptCount val="3"/>
                <c:pt idx="0">
                  <c:v>0.18184729533706392</c:v>
                </c:pt>
                <c:pt idx="1">
                  <c:v>0.28511556899167234</c:v>
                </c:pt>
                <c:pt idx="2">
                  <c:v>0.18354681961763783</c:v>
                </c:pt>
              </c:numCache>
            </c:numRef>
          </c:yVal>
          <c:smooth val="0"/>
          <c:extLst>
            <c:ext xmlns:c16="http://schemas.microsoft.com/office/drawing/2014/chart" uri="{C3380CC4-5D6E-409C-BE32-E72D297353CC}">
              <c16:uniqueId val="{00000003-93F7-F541-AD08-2496159B91BA}"/>
            </c:ext>
          </c:extLst>
        </c:ser>
        <c:ser>
          <c:idx val="4"/>
          <c:order val="4"/>
          <c:tx>
            <c:strRef>
              <c:f>'Bar Graphs_1'!$O$15</c:f>
              <c:strCache>
                <c:ptCount val="1"/>
                <c:pt idx="0">
                  <c:v>Set 4 24h</c:v>
                </c:pt>
              </c:strCache>
            </c:strRef>
          </c:tx>
          <c:spPr>
            <a:ln w="25400" cap="rnd">
              <a:noFill/>
              <a:round/>
            </a:ln>
            <a:effectLst/>
          </c:spPr>
          <c:marker>
            <c:symbol val="circle"/>
            <c:size val="3"/>
            <c:spPr>
              <a:solidFill>
                <a:schemeClr val="bg1"/>
              </a:solidFill>
              <a:ln w="9525">
                <a:solidFill>
                  <a:schemeClr val="tx1"/>
                </a:solidFill>
              </a:ln>
              <a:effectLst/>
            </c:spPr>
          </c:marker>
          <c:xVal>
            <c:numRef>
              <c:f>'Bar Graphs_1'!$N$16:$N$18</c:f>
              <c:numCache>
                <c:formatCode>General</c:formatCode>
                <c:ptCount val="3"/>
                <c:pt idx="0">
                  <c:v>4.0019999999999998</c:v>
                </c:pt>
                <c:pt idx="1">
                  <c:v>4.0019999999999998</c:v>
                </c:pt>
                <c:pt idx="2">
                  <c:v>4.0019999999999998</c:v>
                </c:pt>
              </c:numCache>
            </c:numRef>
          </c:xVal>
          <c:yVal>
            <c:numRef>
              <c:f>'Bar Graphs_1'!$O$16:$O$18</c:f>
              <c:numCache>
                <c:formatCode>General</c:formatCode>
                <c:ptCount val="3"/>
                <c:pt idx="0">
                  <c:v>0.20897491955851222</c:v>
                </c:pt>
                <c:pt idx="1">
                  <c:v>0.19003515898692047</c:v>
                </c:pt>
                <c:pt idx="2">
                  <c:v>0.23706942787035645</c:v>
                </c:pt>
              </c:numCache>
            </c:numRef>
          </c:yVal>
          <c:smooth val="0"/>
          <c:extLst>
            <c:ext xmlns:c16="http://schemas.microsoft.com/office/drawing/2014/chart" uri="{C3380CC4-5D6E-409C-BE32-E72D297353CC}">
              <c16:uniqueId val="{00000004-93F7-F541-AD08-2496159B91BA}"/>
            </c:ext>
          </c:extLst>
        </c:ser>
        <c:ser>
          <c:idx val="5"/>
          <c:order val="5"/>
          <c:tx>
            <c:strRef>
              <c:f>'Bar Graphs_1'!$Q$15</c:f>
              <c:strCache>
                <c:ptCount val="1"/>
                <c:pt idx="0">
                  <c:v>Set 5 24h</c:v>
                </c:pt>
              </c:strCache>
            </c:strRef>
          </c:tx>
          <c:spPr>
            <a:ln w="25400" cap="rnd">
              <a:noFill/>
              <a:round/>
            </a:ln>
            <a:effectLst/>
          </c:spPr>
          <c:marker>
            <c:symbol val="circle"/>
            <c:size val="3"/>
            <c:spPr>
              <a:solidFill>
                <a:schemeClr val="bg1"/>
              </a:solidFill>
              <a:ln w="9525">
                <a:solidFill>
                  <a:schemeClr val="tx1"/>
                </a:solidFill>
              </a:ln>
              <a:effectLst/>
            </c:spPr>
          </c:marker>
          <c:xVal>
            <c:numRef>
              <c:f>'Bar Graphs_1'!$P$16:$P$18</c:f>
              <c:numCache>
                <c:formatCode>General</c:formatCode>
                <c:ptCount val="3"/>
                <c:pt idx="0">
                  <c:v>5.0019999999999998</c:v>
                </c:pt>
                <c:pt idx="1">
                  <c:v>5.0019999999999998</c:v>
                </c:pt>
                <c:pt idx="2">
                  <c:v>5.0019999999999998</c:v>
                </c:pt>
              </c:numCache>
            </c:numRef>
          </c:xVal>
          <c:yVal>
            <c:numRef>
              <c:f>'Bar Graphs_1'!$Q$16:$Q$18</c:f>
              <c:numCache>
                <c:formatCode>General</c:formatCode>
                <c:ptCount val="3"/>
                <c:pt idx="0">
                  <c:v>0.73749426602714252</c:v>
                </c:pt>
                <c:pt idx="1">
                  <c:v>0.59975175196635033</c:v>
                </c:pt>
                <c:pt idx="2">
                  <c:v>0.41010839334156768</c:v>
                </c:pt>
              </c:numCache>
            </c:numRef>
          </c:yVal>
          <c:smooth val="0"/>
          <c:extLst>
            <c:ext xmlns:c16="http://schemas.microsoft.com/office/drawing/2014/chart" uri="{C3380CC4-5D6E-409C-BE32-E72D297353CC}">
              <c16:uniqueId val="{00000005-93F7-F541-AD08-2496159B91BA}"/>
            </c:ext>
          </c:extLst>
        </c:ser>
        <c:ser>
          <c:idx val="6"/>
          <c:order val="6"/>
          <c:tx>
            <c:strRef>
              <c:f>'Bar Graphs_1'!$S$15</c:f>
              <c:strCache>
                <c:ptCount val="1"/>
                <c:pt idx="0">
                  <c:v>GFP 24h</c:v>
                </c:pt>
              </c:strCache>
            </c:strRef>
          </c:tx>
          <c:spPr>
            <a:ln w="25400" cap="rnd">
              <a:noFill/>
              <a:round/>
            </a:ln>
            <a:effectLst/>
          </c:spPr>
          <c:marker>
            <c:symbol val="circle"/>
            <c:size val="3"/>
            <c:spPr>
              <a:solidFill>
                <a:schemeClr val="bg1"/>
              </a:solidFill>
              <a:ln w="9525">
                <a:solidFill>
                  <a:schemeClr val="tx1"/>
                </a:solidFill>
              </a:ln>
              <a:effectLst/>
            </c:spPr>
          </c:marker>
          <c:xVal>
            <c:numRef>
              <c:f>'Bar Graphs_1'!$R$16:$R$18</c:f>
              <c:numCache>
                <c:formatCode>General</c:formatCode>
                <c:ptCount val="3"/>
                <c:pt idx="0">
                  <c:v>6.0019999999999998</c:v>
                </c:pt>
                <c:pt idx="1">
                  <c:v>6.0019999999999998</c:v>
                </c:pt>
                <c:pt idx="2">
                  <c:v>6.0019999999999998</c:v>
                </c:pt>
              </c:numCache>
            </c:numRef>
          </c:xVal>
          <c:yVal>
            <c:numRef>
              <c:f>'Bar Graphs_1'!$S$16:$S$18</c:f>
              <c:numCache>
                <c:formatCode>General</c:formatCode>
                <c:ptCount val="3"/>
                <c:pt idx="0">
                  <c:v>0.35605176271569849</c:v>
                </c:pt>
                <c:pt idx="1">
                  <c:v>0.71031173355441313</c:v>
                </c:pt>
                <c:pt idx="2">
                  <c:v>0.50476947882741152</c:v>
                </c:pt>
              </c:numCache>
            </c:numRef>
          </c:yVal>
          <c:smooth val="0"/>
          <c:extLst>
            <c:ext xmlns:c16="http://schemas.microsoft.com/office/drawing/2014/chart" uri="{C3380CC4-5D6E-409C-BE32-E72D297353CC}">
              <c16:uniqueId val="{00000006-93F7-F541-AD08-2496159B91BA}"/>
            </c:ext>
          </c:extLst>
        </c:ser>
        <c:dLbls>
          <c:showLegendKey val="0"/>
          <c:showVal val="0"/>
          <c:showCatName val="0"/>
          <c:showSerName val="0"/>
          <c:showPercent val="0"/>
          <c:showBubbleSize val="0"/>
        </c:dLbls>
        <c:axId val="618561536"/>
        <c:axId val="548370880"/>
      </c:scatterChart>
      <c:catAx>
        <c:axId val="618561536"/>
        <c:scaling>
          <c:orientation val="minMax"/>
        </c:scaling>
        <c:delete val="0"/>
        <c:axPos val="b"/>
        <c:numFmt formatCode="General" sourceLinked="1"/>
        <c:majorTickMark val="none"/>
        <c:minorTickMark val="out"/>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48370880"/>
        <c:crosses val="autoZero"/>
        <c:auto val="1"/>
        <c:lblAlgn val="ctr"/>
        <c:lblOffset val="100"/>
        <c:noMultiLvlLbl val="0"/>
      </c:catAx>
      <c:valAx>
        <c:axId val="548370880"/>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1" u="none" strike="noStrike" kern="1200" baseline="0">
                    <a:solidFill>
                      <a:schemeClr val="tx1"/>
                    </a:solidFill>
                    <a:latin typeface="Times New Roman" panose="02020603050405020304" pitchFamily="18" charset="0"/>
                    <a:cs typeface="Times New Roman" panose="02020603050405020304" pitchFamily="18" charset="0"/>
                  </a:rPr>
                  <a:t>c-MET 2</a:t>
                </a:r>
                <a:r>
                  <a:rPr lang="en-US" sz="1000" b="1" i="1" u="none" strike="noStrike" kern="1200" baseline="30000">
                    <a:solidFill>
                      <a:schemeClr val="tx1"/>
                    </a:solidFill>
                    <a:latin typeface="Times New Roman" panose="02020603050405020304" pitchFamily="18" charset="0"/>
                    <a:cs typeface="Times New Roman" panose="02020603050405020304" pitchFamily="18" charset="0"/>
                  </a:rPr>
                  <a:t>-∆∆CT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1856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Gene 2 - Each Replicate Individually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'Bar Graphs_1'!$B$56:$B$58</c:f>
              <c:strCache>
                <c:ptCount val="3"/>
                <c:pt idx="0">
                  <c:v>WT 24h</c:v>
                </c:pt>
              </c:strCache>
            </c:strRef>
          </c:tx>
          <c:spPr>
            <a:solidFill>
              <a:schemeClr val="accent5">
                <a:shade val="50000"/>
              </a:schemeClr>
            </a:solidFill>
            <a:ln>
              <a:solidFill>
                <a:schemeClr val="tx1"/>
              </a:solidFill>
            </a:ln>
            <a:effectLst/>
          </c:spPr>
          <c:invertIfNegative val="0"/>
          <c:val>
            <c:numRef>
              <c:f>'Bar Graphs_1'!$D$56:$D$58</c:f>
              <c:numCache>
                <c:formatCode>General</c:formatCode>
                <c:ptCount val="3"/>
                <c:pt idx="0">
                  <c:v>1.0567590296487801</c:v>
                </c:pt>
                <c:pt idx="1">
                  <c:v>1.0701736912628501</c:v>
                </c:pt>
                <c:pt idx="2">
                  <c:v>0.88423919643229809</c:v>
                </c:pt>
              </c:numCache>
            </c:numRef>
          </c:val>
          <c:extLst>
            <c:ext xmlns:c16="http://schemas.microsoft.com/office/drawing/2014/chart" uri="{C3380CC4-5D6E-409C-BE32-E72D297353CC}">
              <c16:uniqueId val="{00000000-CFE0-A645-B427-F8F8CC868442}"/>
            </c:ext>
          </c:extLst>
        </c:ser>
        <c:ser>
          <c:idx val="1"/>
          <c:order val="1"/>
          <c:tx>
            <c:strRef>
              <c:f>'Bar Graphs_1'!$B$59:$B$61</c:f>
              <c:strCache>
                <c:ptCount val="3"/>
                <c:pt idx="0">
                  <c:v>Set 1 24h</c:v>
                </c:pt>
              </c:strCache>
            </c:strRef>
          </c:tx>
          <c:spPr>
            <a:solidFill>
              <a:schemeClr val="accent5">
                <a:shade val="70000"/>
              </a:schemeClr>
            </a:solidFill>
            <a:ln>
              <a:solidFill>
                <a:schemeClr val="tx1"/>
              </a:solidFill>
            </a:ln>
            <a:effectLst/>
          </c:spPr>
          <c:invertIfNegative val="0"/>
          <c:val>
            <c:numRef>
              <c:f>'Bar Graphs_1'!$D$59:$D$61</c:f>
              <c:numCache>
                <c:formatCode>General</c:formatCode>
                <c:ptCount val="3"/>
                <c:pt idx="0">
                  <c:v>0.6936765560603535</c:v>
                </c:pt>
                <c:pt idx="1">
                  <c:v>0.27279708023362575</c:v>
                </c:pt>
                <c:pt idx="2">
                  <c:v>0.39217030902202554</c:v>
                </c:pt>
              </c:numCache>
            </c:numRef>
          </c:val>
          <c:extLst>
            <c:ext xmlns:c16="http://schemas.microsoft.com/office/drawing/2014/chart" uri="{C3380CC4-5D6E-409C-BE32-E72D297353CC}">
              <c16:uniqueId val="{00000001-CFE0-A645-B427-F8F8CC868442}"/>
            </c:ext>
          </c:extLst>
        </c:ser>
        <c:ser>
          <c:idx val="2"/>
          <c:order val="2"/>
          <c:tx>
            <c:strRef>
              <c:f>'Bar Graphs_1'!$B$62:$B$64</c:f>
              <c:strCache>
                <c:ptCount val="3"/>
                <c:pt idx="0">
                  <c:v>Set 2 24h</c:v>
                </c:pt>
              </c:strCache>
            </c:strRef>
          </c:tx>
          <c:spPr>
            <a:solidFill>
              <a:schemeClr val="accent5">
                <a:shade val="90000"/>
              </a:schemeClr>
            </a:solidFill>
            <a:ln>
              <a:solidFill>
                <a:schemeClr val="tx1"/>
              </a:solidFill>
            </a:ln>
            <a:effectLst/>
          </c:spPr>
          <c:invertIfNegative val="0"/>
          <c:val>
            <c:numRef>
              <c:f>'Bar Graphs_1'!$D$62:$D$64</c:f>
              <c:numCache>
                <c:formatCode>General</c:formatCode>
                <c:ptCount val="3"/>
                <c:pt idx="0">
                  <c:v>0.30950712517343493</c:v>
                </c:pt>
                <c:pt idx="1">
                  <c:v>0.32293026453366291</c:v>
                </c:pt>
                <c:pt idx="2">
                  <c:v>0.30863041140502617</c:v>
                </c:pt>
              </c:numCache>
            </c:numRef>
          </c:val>
          <c:extLst>
            <c:ext xmlns:c16="http://schemas.microsoft.com/office/drawing/2014/chart" uri="{C3380CC4-5D6E-409C-BE32-E72D297353CC}">
              <c16:uniqueId val="{00000002-CFE0-A645-B427-F8F8CC868442}"/>
            </c:ext>
          </c:extLst>
        </c:ser>
        <c:ser>
          <c:idx val="3"/>
          <c:order val="3"/>
          <c:tx>
            <c:strRef>
              <c:f>'Bar Graphs_1'!$B$65:$B$67</c:f>
              <c:strCache>
                <c:ptCount val="3"/>
                <c:pt idx="0">
                  <c:v>Set 4 24h</c:v>
                </c:pt>
              </c:strCache>
            </c:strRef>
          </c:tx>
          <c:spPr>
            <a:solidFill>
              <a:schemeClr val="accent5">
                <a:tint val="90000"/>
              </a:schemeClr>
            </a:solidFill>
            <a:ln>
              <a:solidFill>
                <a:schemeClr val="tx1"/>
              </a:solidFill>
            </a:ln>
            <a:effectLst/>
          </c:spPr>
          <c:invertIfNegative val="0"/>
          <c:val>
            <c:numRef>
              <c:f>'Bar Graphs_1'!$D$65:$D$67</c:f>
              <c:numCache>
                <c:formatCode>General</c:formatCode>
                <c:ptCount val="3"/>
                <c:pt idx="0">
                  <c:v>0.83292122784334754</c:v>
                </c:pt>
                <c:pt idx="1">
                  <c:v>0.86582335138058319</c:v>
                </c:pt>
                <c:pt idx="2">
                  <c:v>0.76086562937329794</c:v>
                </c:pt>
              </c:numCache>
            </c:numRef>
          </c:val>
          <c:extLst>
            <c:ext xmlns:c16="http://schemas.microsoft.com/office/drawing/2014/chart" uri="{C3380CC4-5D6E-409C-BE32-E72D297353CC}">
              <c16:uniqueId val="{00000003-CFE0-A645-B427-F8F8CC868442}"/>
            </c:ext>
          </c:extLst>
        </c:ser>
        <c:ser>
          <c:idx val="4"/>
          <c:order val="4"/>
          <c:tx>
            <c:strRef>
              <c:f>'Bar Graphs_1'!$B$68:$B$70</c:f>
              <c:strCache>
                <c:ptCount val="3"/>
                <c:pt idx="0">
                  <c:v>Set 5 24h</c:v>
                </c:pt>
              </c:strCache>
            </c:strRef>
          </c:tx>
          <c:spPr>
            <a:solidFill>
              <a:schemeClr val="accent5">
                <a:tint val="70000"/>
              </a:schemeClr>
            </a:solidFill>
            <a:ln>
              <a:solidFill>
                <a:schemeClr val="tx1"/>
              </a:solidFill>
            </a:ln>
            <a:effectLst/>
          </c:spPr>
          <c:invertIfNegative val="0"/>
          <c:val>
            <c:numRef>
              <c:f>'Bar Graphs_1'!$D$68:$D$70</c:f>
              <c:numCache>
                <c:formatCode>General</c:formatCode>
                <c:ptCount val="3"/>
                <c:pt idx="0">
                  <c:v>1.8018019406838788</c:v>
                </c:pt>
                <c:pt idx="1">
                  <c:v>0.71645040408527227</c:v>
                </c:pt>
                <c:pt idx="2">
                  <c:v>0.57161200408115909</c:v>
                </c:pt>
              </c:numCache>
            </c:numRef>
          </c:val>
          <c:extLst>
            <c:ext xmlns:c16="http://schemas.microsoft.com/office/drawing/2014/chart" uri="{C3380CC4-5D6E-409C-BE32-E72D297353CC}">
              <c16:uniqueId val="{00000004-CFE0-A645-B427-F8F8CC868442}"/>
            </c:ext>
          </c:extLst>
        </c:ser>
        <c:ser>
          <c:idx val="5"/>
          <c:order val="5"/>
          <c:tx>
            <c:strRef>
              <c:f>'Bar Graphs_1'!$B$71:$B$73</c:f>
              <c:strCache>
                <c:ptCount val="3"/>
                <c:pt idx="0">
                  <c:v>GFP 24h</c:v>
                </c:pt>
              </c:strCache>
            </c:strRef>
          </c:tx>
          <c:spPr>
            <a:solidFill>
              <a:schemeClr val="accent5">
                <a:tint val="50000"/>
              </a:schemeClr>
            </a:solidFill>
            <a:ln>
              <a:solidFill>
                <a:schemeClr val="tx1"/>
              </a:solidFill>
            </a:ln>
            <a:effectLst/>
          </c:spPr>
          <c:invertIfNegative val="0"/>
          <c:val>
            <c:numRef>
              <c:f>'Bar Graphs_1'!$D$71:$D$73</c:f>
              <c:numCache>
                <c:formatCode>General</c:formatCode>
                <c:ptCount val="3"/>
                <c:pt idx="0">
                  <c:v>0.10088556770406254</c:v>
                </c:pt>
                <c:pt idx="1">
                  <c:v>0.22660639132566865</c:v>
                </c:pt>
                <c:pt idx="2">
                  <c:v>0.17303246880483028</c:v>
                </c:pt>
              </c:numCache>
            </c:numRef>
          </c:val>
          <c:extLst>
            <c:ext xmlns:c16="http://schemas.microsoft.com/office/drawing/2014/chart" uri="{C3380CC4-5D6E-409C-BE32-E72D297353CC}">
              <c16:uniqueId val="{00000005-CFE0-A645-B427-F8F8CC868442}"/>
            </c:ext>
          </c:extLst>
        </c:ser>
        <c:dLbls>
          <c:showLegendKey val="0"/>
          <c:showVal val="0"/>
          <c:showCatName val="0"/>
          <c:showSerName val="0"/>
          <c:showPercent val="0"/>
          <c:showBubbleSize val="0"/>
        </c:dLbls>
        <c:gapWidth val="219"/>
        <c:overlap val="-27"/>
        <c:axId val="682610624"/>
        <c:axId val="682617792"/>
      </c:barChart>
      <c:catAx>
        <c:axId val="68261062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50" b="0">
                    <a:solidFill>
                      <a:schemeClr val="tx1"/>
                    </a:solidFill>
                    <a:latin typeface="Times New Roman" panose="02020603050405020304" pitchFamily="18" charset="0"/>
                    <a:cs typeface="Times New Roman" panose="02020603050405020304" pitchFamily="18" charset="0"/>
                  </a:rPr>
                  <a:t>Discriminating</a:t>
                </a:r>
                <a:r>
                  <a:rPr lang="en-US" sz="1050" b="0" baseline="0">
                    <a:solidFill>
                      <a:schemeClr val="tx1"/>
                    </a:solidFill>
                    <a:latin typeface="Times New Roman" panose="02020603050405020304" pitchFamily="18" charset="0"/>
                    <a:cs typeface="Times New Roman" panose="02020603050405020304" pitchFamily="18" charset="0"/>
                  </a:rPr>
                  <a:t> Factor (ex. Timepoint etc)</a:t>
                </a:r>
                <a:endParaRPr lang="en-US" sz="1050" b="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majorTickMark val="none"/>
        <c:minorTickMark val="out"/>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82617792"/>
        <c:crosses val="autoZero"/>
        <c:auto val="1"/>
        <c:lblAlgn val="ctr"/>
        <c:lblOffset val="100"/>
        <c:noMultiLvlLbl val="0"/>
      </c:catAx>
      <c:valAx>
        <c:axId val="682617792"/>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50" b="1" i="1">
                    <a:solidFill>
                      <a:schemeClr val="tx1"/>
                    </a:solidFill>
                    <a:latin typeface="Times New Roman" panose="02020603050405020304" pitchFamily="18" charset="0"/>
                    <a:cs typeface="Times New Roman" panose="02020603050405020304" pitchFamily="18" charset="0"/>
                  </a:rPr>
                  <a:t>c-MET</a:t>
                </a:r>
                <a:r>
                  <a:rPr lang="en-US" sz="1050" b="1" i="1" baseline="0">
                    <a:solidFill>
                      <a:schemeClr val="tx1"/>
                    </a:solidFill>
                    <a:latin typeface="Times New Roman" panose="02020603050405020304" pitchFamily="18" charset="0"/>
                    <a:cs typeface="Times New Roman" panose="02020603050405020304" pitchFamily="18" charset="0"/>
                  </a:rPr>
                  <a:t> 2</a:t>
                </a:r>
                <a:r>
                  <a:rPr lang="en-US" sz="1050" b="1" i="1" baseline="30000">
                    <a:solidFill>
                      <a:schemeClr val="tx1"/>
                    </a:solidFill>
                    <a:latin typeface="Times New Roman" panose="02020603050405020304" pitchFamily="18" charset="0"/>
                    <a:cs typeface="Times New Roman" panose="02020603050405020304" pitchFamily="18" charset="0"/>
                  </a:rPr>
                  <a:t>-∆∆CT</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8261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Gene 2</a:t>
            </a:r>
            <a:r>
              <a:rPr lang="en-US" b="1" baseline="0">
                <a:solidFill>
                  <a:schemeClr val="tx1"/>
                </a:solidFill>
                <a:latin typeface="Times New Roman" panose="02020603050405020304" pitchFamily="18" charset="0"/>
                <a:cs typeface="Times New Roman" panose="02020603050405020304" pitchFamily="18" charset="0"/>
              </a:rPr>
              <a:t> - Averages, SD, Individual points</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rgbClr val="B861D4"/>
            </a:solidFill>
            <a:ln>
              <a:noFill/>
            </a:ln>
            <a:effectLst/>
          </c:spPr>
          <c:invertIfNegative val="0"/>
          <c:errBars>
            <c:errBarType val="both"/>
            <c:errValType val="cust"/>
            <c:noEndCap val="0"/>
            <c:plus>
              <c:numRef>
                <c:f>'Bar Graphs_1'!$I$62:$N$62</c:f>
                <c:numCache>
                  <c:formatCode>General</c:formatCode>
                  <c:ptCount val="6"/>
                  <c:pt idx="0">
                    <c:v>0.10369400687210692</c:v>
                  </c:pt>
                  <c:pt idx="1">
                    <c:v>0.21690839768847345</c:v>
                  </c:pt>
                  <c:pt idx="2">
                    <c:v>8.0149349843110732E-3</c:v>
                  </c:pt>
                  <c:pt idx="3">
                    <c:v>5.3682216815091728E-2</c:v>
                  </c:pt>
                  <c:pt idx="4">
                    <c:v>0.67235077653351372</c:v>
                  </c:pt>
                  <c:pt idx="5">
                    <c:v>6.3088649275982789E-2</c:v>
                  </c:pt>
                </c:numCache>
              </c:numRef>
            </c:plus>
            <c:minus>
              <c:numRef>
                <c:f>'Bar Graphs_1'!$I$62:$N$62</c:f>
                <c:numCache>
                  <c:formatCode>General</c:formatCode>
                  <c:ptCount val="6"/>
                  <c:pt idx="0">
                    <c:v>0.10369400687210692</c:v>
                  </c:pt>
                  <c:pt idx="1">
                    <c:v>0.21690839768847345</c:v>
                  </c:pt>
                  <c:pt idx="2">
                    <c:v>8.0149349843110732E-3</c:v>
                  </c:pt>
                  <c:pt idx="3">
                    <c:v>5.3682216815091728E-2</c:v>
                  </c:pt>
                  <c:pt idx="4">
                    <c:v>0.67235077653351372</c:v>
                  </c:pt>
                  <c:pt idx="5">
                    <c:v>6.3088649275982789E-2</c:v>
                  </c:pt>
                </c:numCache>
              </c:numRef>
            </c:minus>
            <c:spPr>
              <a:noFill/>
              <a:ln w="9525" cap="flat" cmpd="sng" algn="ctr">
                <a:solidFill>
                  <a:schemeClr val="tx1"/>
                </a:solidFill>
                <a:round/>
              </a:ln>
              <a:effectLst/>
            </c:spPr>
          </c:errBars>
          <c:cat>
            <c:strRef>
              <c:f>'Bar Graphs_1'!$I$60:$N$60</c:f>
              <c:strCache>
                <c:ptCount val="6"/>
                <c:pt idx="0">
                  <c:v>WT 24h</c:v>
                </c:pt>
                <c:pt idx="1">
                  <c:v>Set 1 24h</c:v>
                </c:pt>
                <c:pt idx="2">
                  <c:v>Set 2 24h</c:v>
                </c:pt>
                <c:pt idx="3">
                  <c:v>Set 4 24h</c:v>
                </c:pt>
                <c:pt idx="4">
                  <c:v>Set 5 24h</c:v>
                </c:pt>
                <c:pt idx="5">
                  <c:v>GFP 24h</c:v>
                </c:pt>
              </c:strCache>
            </c:strRef>
          </c:cat>
          <c:val>
            <c:numRef>
              <c:f>'Bar Graphs_1'!$I$61:$N$61</c:f>
              <c:numCache>
                <c:formatCode>General</c:formatCode>
                <c:ptCount val="6"/>
                <c:pt idx="0">
                  <c:v>1.0037239724479761</c:v>
                </c:pt>
                <c:pt idx="1">
                  <c:v>0.45288131510533497</c:v>
                </c:pt>
                <c:pt idx="2">
                  <c:v>0.31368926703737471</c:v>
                </c:pt>
                <c:pt idx="3">
                  <c:v>0.81987006953240948</c:v>
                </c:pt>
                <c:pt idx="4">
                  <c:v>1.0299547829501032</c:v>
                </c:pt>
                <c:pt idx="5">
                  <c:v>0.1668414759448538</c:v>
                </c:pt>
              </c:numCache>
            </c:numRef>
          </c:val>
          <c:extLst>
            <c:ext xmlns:c16="http://schemas.microsoft.com/office/drawing/2014/chart" uri="{C3380CC4-5D6E-409C-BE32-E72D297353CC}">
              <c16:uniqueId val="{00000000-B4F9-4A4B-9CBC-089DA5A2392E}"/>
            </c:ext>
          </c:extLst>
        </c:ser>
        <c:dLbls>
          <c:showLegendKey val="0"/>
          <c:showVal val="0"/>
          <c:showCatName val="0"/>
          <c:showSerName val="0"/>
          <c:showPercent val="0"/>
          <c:showBubbleSize val="0"/>
        </c:dLbls>
        <c:gapWidth val="78"/>
        <c:overlap val="-57"/>
        <c:axId val="618561536"/>
        <c:axId val="548370880"/>
      </c:barChart>
      <c:scatterChart>
        <c:scatterStyle val="lineMarker"/>
        <c:varyColors val="0"/>
        <c:ser>
          <c:idx val="1"/>
          <c:order val="1"/>
          <c:tx>
            <c:strRef>
              <c:f>'Bar Graphs_1'!$I$55</c:f>
              <c:strCache>
                <c:ptCount val="1"/>
                <c:pt idx="0">
                  <c:v>WT 24h</c:v>
                </c:pt>
              </c:strCache>
            </c:strRef>
          </c:tx>
          <c:spPr>
            <a:ln w="25400" cap="rnd">
              <a:noFill/>
              <a:round/>
            </a:ln>
            <a:effectLst/>
          </c:spPr>
          <c:marker>
            <c:symbol val="circle"/>
            <c:size val="3"/>
            <c:spPr>
              <a:solidFill>
                <a:schemeClr val="bg1"/>
              </a:solidFill>
              <a:ln w="9525">
                <a:solidFill>
                  <a:schemeClr val="tx1"/>
                </a:solidFill>
              </a:ln>
              <a:effectLst/>
            </c:spPr>
          </c:marker>
          <c:xVal>
            <c:numRef>
              <c:f>'Bar Graphs_1'!$H$56:$H$58</c:f>
              <c:numCache>
                <c:formatCode>General</c:formatCode>
                <c:ptCount val="3"/>
                <c:pt idx="0">
                  <c:v>1.002</c:v>
                </c:pt>
                <c:pt idx="1">
                  <c:v>1.002</c:v>
                </c:pt>
                <c:pt idx="2">
                  <c:v>1.002</c:v>
                </c:pt>
              </c:numCache>
            </c:numRef>
          </c:xVal>
          <c:yVal>
            <c:numRef>
              <c:f>'Bar Graphs_1'!$I$56:$I$58</c:f>
              <c:numCache>
                <c:formatCode>General</c:formatCode>
                <c:ptCount val="3"/>
                <c:pt idx="0">
                  <c:v>1.0567590296487801</c:v>
                </c:pt>
                <c:pt idx="1">
                  <c:v>1.0701736912628501</c:v>
                </c:pt>
                <c:pt idx="2">
                  <c:v>0.88423919643229809</c:v>
                </c:pt>
              </c:numCache>
            </c:numRef>
          </c:yVal>
          <c:smooth val="0"/>
          <c:extLst>
            <c:ext xmlns:c16="http://schemas.microsoft.com/office/drawing/2014/chart" uri="{C3380CC4-5D6E-409C-BE32-E72D297353CC}">
              <c16:uniqueId val="{00000001-B4F9-4A4B-9CBC-089DA5A2392E}"/>
            </c:ext>
          </c:extLst>
        </c:ser>
        <c:ser>
          <c:idx val="2"/>
          <c:order val="2"/>
          <c:tx>
            <c:strRef>
              <c:f>'Bar Graphs_1'!$K$55</c:f>
              <c:strCache>
                <c:ptCount val="1"/>
                <c:pt idx="0">
                  <c:v>Set 1 24h</c:v>
                </c:pt>
              </c:strCache>
            </c:strRef>
          </c:tx>
          <c:spPr>
            <a:ln w="25400" cap="rnd">
              <a:noFill/>
              <a:round/>
            </a:ln>
            <a:effectLst/>
          </c:spPr>
          <c:marker>
            <c:symbol val="circle"/>
            <c:size val="3"/>
            <c:spPr>
              <a:solidFill>
                <a:schemeClr val="bg1"/>
              </a:solidFill>
              <a:ln w="9525">
                <a:solidFill>
                  <a:schemeClr val="tx1"/>
                </a:solidFill>
              </a:ln>
              <a:effectLst/>
            </c:spPr>
          </c:marker>
          <c:xVal>
            <c:numRef>
              <c:f>'Bar Graphs_1'!$J$56:$J$58</c:f>
              <c:numCache>
                <c:formatCode>General</c:formatCode>
                <c:ptCount val="3"/>
                <c:pt idx="0">
                  <c:v>2.0019999999999998</c:v>
                </c:pt>
                <c:pt idx="1">
                  <c:v>2.0019999999999998</c:v>
                </c:pt>
                <c:pt idx="2">
                  <c:v>2.0019999999999998</c:v>
                </c:pt>
              </c:numCache>
            </c:numRef>
          </c:xVal>
          <c:yVal>
            <c:numRef>
              <c:f>'Bar Graphs_1'!$K$56:$K$58</c:f>
              <c:numCache>
                <c:formatCode>General</c:formatCode>
                <c:ptCount val="3"/>
                <c:pt idx="0">
                  <c:v>0.6936765560603535</c:v>
                </c:pt>
                <c:pt idx="1">
                  <c:v>0.27279708023362575</c:v>
                </c:pt>
                <c:pt idx="2">
                  <c:v>0.39217030902202554</c:v>
                </c:pt>
              </c:numCache>
            </c:numRef>
          </c:yVal>
          <c:smooth val="0"/>
          <c:extLst>
            <c:ext xmlns:c16="http://schemas.microsoft.com/office/drawing/2014/chart" uri="{C3380CC4-5D6E-409C-BE32-E72D297353CC}">
              <c16:uniqueId val="{00000002-B4F9-4A4B-9CBC-089DA5A2392E}"/>
            </c:ext>
          </c:extLst>
        </c:ser>
        <c:ser>
          <c:idx val="3"/>
          <c:order val="3"/>
          <c:tx>
            <c:strRef>
              <c:f>'Bar Graphs_1'!$M$55</c:f>
              <c:strCache>
                <c:ptCount val="1"/>
                <c:pt idx="0">
                  <c:v>Set 2 24h</c:v>
                </c:pt>
              </c:strCache>
            </c:strRef>
          </c:tx>
          <c:spPr>
            <a:ln w="25400" cap="rnd">
              <a:noFill/>
              <a:round/>
            </a:ln>
            <a:effectLst/>
          </c:spPr>
          <c:marker>
            <c:symbol val="circle"/>
            <c:size val="3"/>
            <c:spPr>
              <a:solidFill>
                <a:schemeClr val="bg1"/>
              </a:solidFill>
              <a:ln w="9525">
                <a:solidFill>
                  <a:schemeClr val="tx1"/>
                </a:solidFill>
              </a:ln>
              <a:effectLst/>
            </c:spPr>
          </c:marker>
          <c:xVal>
            <c:numRef>
              <c:f>'Bar Graphs_1'!$L$56:$L$58</c:f>
              <c:numCache>
                <c:formatCode>General</c:formatCode>
                <c:ptCount val="3"/>
                <c:pt idx="0">
                  <c:v>3.0019999999999998</c:v>
                </c:pt>
                <c:pt idx="1">
                  <c:v>3.0019999999999998</c:v>
                </c:pt>
                <c:pt idx="2">
                  <c:v>3.0019999999999998</c:v>
                </c:pt>
              </c:numCache>
            </c:numRef>
          </c:xVal>
          <c:yVal>
            <c:numRef>
              <c:f>'Bar Graphs_1'!$M$56:$M$58</c:f>
              <c:numCache>
                <c:formatCode>General</c:formatCode>
                <c:ptCount val="3"/>
                <c:pt idx="0">
                  <c:v>0.30950712517343493</c:v>
                </c:pt>
                <c:pt idx="1">
                  <c:v>0.32293026453366291</c:v>
                </c:pt>
                <c:pt idx="2">
                  <c:v>0.30863041140502617</c:v>
                </c:pt>
              </c:numCache>
            </c:numRef>
          </c:yVal>
          <c:smooth val="0"/>
          <c:extLst>
            <c:ext xmlns:c16="http://schemas.microsoft.com/office/drawing/2014/chart" uri="{C3380CC4-5D6E-409C-BE32-E72D297353CC}">
              <c16:uniqueId val="{00000003-B4F9-4A4B-9CBC-089DA5A2392E}"/>
            </c:ext>
          </c:extLst>
        </c:ser>
        <c:ser>
          <c:idx val="4"/>
          <c:order val="4"/>
          <c:tx>
            <c:strRef>
              <c:f>'Bar Graphs_1'!$O$55</c:f>
              <c:strCache>
                <c:ptCount val="1"/>
                <c:pt idx="0">
                  <c:v>Set 4 24h</c:v>
                </c:pt>
              </c:strCache>
            </c:strRef>
          </c:tx>
          <c:spPr>
            <a:ln w="25400" cap="rnd">
              <a:noFill/>
              <a:round/>
            </a:ln>
            <a:effectLst/>
          </c:spPr>
          <c:marker>
            <c:symbol val="circle"/>
            <c:size val="3"/>
            <c:spPr>
              <a:solidFill>
                <a:schemeClr val="bg1"/>
              </a:solidFill>
              <a:ln w="9525">
                <a:solidFill>
                  <a:schemeClr val="tx1"/>
                </a:solidFill>
              </a:ln>
              <a:effectLst/>
            </c:spPr>
          </c:marker>
          <c:xVal>
            <c:numRef>
              <c:f>'Bar Graphs_1'!$N$56:$N$58</c:f>
              <c:numCache>
                <c:formatCode>General</c:formatCode>
                <c:ptCount val="3"/>
                <c:pt idx="0">
                  <c:v>4.0019999999999998</c:v>
                </c:pt>
                <c:pt idx="1">
                  <c:v>4.0019999999999998</c:v>
                </c:pt>
                <c:pt idx="2">
                  <c:v>4.0019999999999998</c:v>
                </c:pt>
              </c:numCache>
            </c:numRef>
          </c:xVal>
          <c:yVal>
            <c:numRef>
              <c:f>'Bar Graphs_1'!$O$56:$O$58</c:f>
              <c:numCache>
                <c:formatCode>General</c:formatCode>
                <c:ptCount val="3"/>
                <c:pt idx="0">
                  <c:v>0.83292122784334754</c:v>
                </c:pt>
                <c:pt idx="1">
                  <c:v>0.86582335138058319</c:v>
                </c:pt>
                <c:pt idx="2">
                  <c:v>0.76086562937329794</c:v>
                </c:pt>
              </c:numCache>
            </c:numRef>
          </c:yVal>
          <c:smooth val="0"/>
          <c:extLst>
            <c:ext xmlns:c16="http://schemas.microsoft.com/office/drawing/2014/chart" uri="{C3380CC4-5D6E-409C-BE32-E72D297353CC}">
              <c16:uniqueId val="{00000004-B4F9-4A4B-9CBC-089DA5A2392E}"/>
            </c:ext>
          </c:extLst>
        </c:ser>
        <c:ser>
          <c:idx val="5"/>
          <c:order val="5"/>
          <c:tx>
            <c:strRef>
              <c:f>'Bar Graphs_1'!$Q$55</c:f>
              <c:strCache>
                <c:ptCount val="1"/>
                <c:pt idx="0">
                  <c:v>Set 5 24h</c:v>
                </c:pt>
              </c:strCache>
            </c:strRef>
          </c:tx>
          <c:spPr>
            <a:ln w="25400" cap="rnd">
              <a:noFill/>
              <a:round/>
            </a:ln>
            <a:effectLst/>
          </c:spPr>
          <c:marker>
            <c:symbol val="circle"/>
            <c:size val="3"/>
            <c:spPr>
              <a:solidFill>
                <a:schemeClr val="bg1"/>
              </a:solidFill>
              <a:ln w="9525">
                <a:solidFill>
                  <a:schemeClr val="tx1"/>
                </a:solidFill>
              </a:ln>
              <a:effectLst/>
            </c:spPr>
          </c:marker>
          <c:xVal>
            <c:numRef>
              <c:f>'Bar Graphs_1'!$P$56:$P$58</c:f>
              <c:numCache>
                <c:formatCode>General</c:formatCode>
                <c:ptCount val="3"/>
                <c:pt idx="0">
                  <c:v>5.0019999999999998</c:v>
                </c:pt>
                <c:pt idx="1">
                  <c:v>5.0019999999999998</c:v>
                </c:pt>
                <c:pt idx="2">
                  <c:v>5.0019999999999998</c:v>
                </c:pt>
              </c:numCache>
            </c:numRef>
          </c:xVal>
          <c:yVal>
            <c:numRef>
              <c:f>'Bar Graphs_1'!$Q$56:$Q$58</c:f>
              <c:numCache>
                <c:formatCode>General</c:formatCode>
                <c:ptCount val="3"/>
                <c:pt idx="0">
                  <c:v>1.8018019406838788</c:v>
                </c:pt>
                <c:pt idx="1">
                  <c:v>0.71645040408527227</c:v>
                </c:pt>
                <c:pt idx="2">
                  <c:v>0.57161200408115909</c:v>
                </c:pt>
              </c:numCache>
            </c:numRef>
          </c:yVal>
          <c:smooth val="0"/>
          <c:extLst>
            <c:ext xmlns:c16="http://schemas.microsoft.com/office/drawing/2014/chart" uri="{C3380CC4-5D6E-409C-BE32-E72D297353CC}">
              <c16:uniqueId val="{00000005-B4F9-4A4B-9CBC-089DA5A2392E}"/>
            </c:ext>
          </c:extLst>
        </c:ser>
        <c:ser>
          <c:idx val="6"/>
          <c:order val="6"/>
          <c:tx>
            <c:strRef>
              <c:f>'Bar Graphs_1'!$S$55</c:f>
              <c:strCache>
                <c:ptCount val="1"/>
                <c:pt idx="0">
                  <c:v>GFP 24h</c:v>
                </c:pt>
              </c:strCache>
            </c:strRef>
          </c:tx>
          <c:spPr>
            <a:ln w="25400" cap="rnd">
              <a:noFill/>
              <a:round/>
            </a:ln>
            <a:effectLst/>
          </c:spPr>
          <c:marker>
            <c:symbol val="circle"/>
            <c:size val="3"/>
            <c:spPr>
              <a:solidFill>
                <a:schemeClr val="bg1"/>
              </a:solidFill>
              <a:ln w="9525">
                <a:solidFill>
                  <a:schemeClr val="tx1"/>
                </a:solidFill>
              </a:ln>
              <a:effectLst/>
            </c:spPr>
          </c:marker>
          <c:xVal>
            <c:numRef>
              <c:f>'Bar Graphs_1'!$R$56:$R$58</c:f>
              <c:numCache>
                <c:formatCode>General</c:formatCode>
                <c:ptCount val="3"/>
                <c:pt idx="0">
                  <c:v>6.0019999999999998</c:v>
                </c:pt>
                <c:pt idx="1">
                  <c:v>6.0019999999999998</c:v>
                </c:pt>
                <c:pt idx="2">
                  <c:v>6.0019999999999998</c:v>
                </c:pt>
              </c:numCache>
            </c:numRef>
          </c:xVal>
          <c:yVal>
            <c:numRef>
              <c:f>'Bar Graphs_1'!$S$56:$S$58</c:f>
              <c:numCache>
                <c:formatCode>General</c:formatCode>
                <c:ptCount val="3"/>
                <c:pt idx="0">
                  <c:v>0.10088556770406254</c:v>
                </c:pt>
                <c:pt idx="1">
                  <c:v>0.22660639132566865</c:v>
                </c:pt>
                <c:pt idx="2">
                  <c:v>0.17303246880483028</c:v>
                </c:pt>
              </c:numCache>
            </c:numRef>
          </c:yVal>
          <c:smooth val="0"/>
          <c:extLst>
            <c:ext xmlns:c16="http://schemas.microsoft.com/office/drawing/2014/chart" uri="{C3380CC4-5D6E-409C-BE32-E72D297353CC}">
              <c16:uniqueId val="{00000006-B4F9-4A4B-9CBC-089DA5A2392E}"/>
            </c:ext>
          </c:extLst>
        </c:ser>
        <c:dLbls>
          <c:showLegendKey val="0"/>
          <c:showVal val="0"/>
          <c:showCatName val="0"/>
          <c:showSerName val="0"/>
          <c:showPercent val="0"/>
          <c:showBubbleSize val="0"/>
        </c:dLbls>
        <c:axId val="618561536"/>
        <c:axId val="548370880"/>
      </c:scatterChart>
      <c:catAx>
        <c:axId val="618561536"/>
        <c:scaling>
          <c:orientation val="minMax"/>
        </c:scaling>
        <c:delete val="0"/>
        <c:axPos val="b"/>
        <c:numFmt formatCode="General" sourceLinked="1"/>
        <c:majorTickMark val="none"/>
        <c:minorTickMark val="out"/>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48370880"/>
        <c:crosses val="autoZero"/>
        <c:auto val="1"/>
        <c:lblAlgn val="ctr"/>
        <c:lblOffset val="100"/>
        <c:noMultiLvlLbl val="0"/>
      </c:catAx>
      <c:valAx>
        <c:axId val="548370880"/>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1" u="none" strike="noStrike" kern="1200" baseline="0">
                    <a:solidFill>
                      <a:schemeClr val="tx1"/>
                    </a:solidFill>
                    <a:latin typeface="Times New Roman" panose="02020603050405020304" pitchFamily="18" charset="0"/>
                    <a:cs typeface="Times New Roman" panose="02020603050405020304" pitchFamily="18" charset="0"/>
                  </a:rPr>
                  <a:t>c-MET 2</a:t>
                </a:r>
                <a:r>
                  <a:rPr lang="en-US" sz="1000" b="1" i="1" u="none" strike="noStrike" kern="1200" baseline="30000">
                    <a:solidFill>
                      <a:schemeClr val="tx1"/>
                    </a:solidFill>
                    <a:latin typeface="Times New Roman" panose="02020603050405020304" pitchFamily="18" charset="0"/>
                    <a:cs typeface="Times New Roman" panose="02020603050405020304" pitchFamily="18" charset="0"/>
                  </a:rPr>
                  <a:t>-∆∆CT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1856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Gene 3 - Each Replicate Individually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'Bar Graphs_1'!$B$96:$B$98</c:f>
              <c:strCache>
                <c:ptCount val="3"/>
                <c:pt idx="0">
                  <c:v>WT 24h</c:v>
                </c:pt>
              </c:strCache>
            </c:strRef>
          </c:tx>
          <c:spPr>
            <a:solidFill>
              <a:schemeClr val="accent2">
                <a:shade val="50000"/>
              </a:schemeClr>
            </a:solidFill>
            <a:ln>
              <a:solidFill>
                <a:schemeClr val="tx1"/>
              </a:solidFill>
            </a:ln>
            <a:effectLst/>
          </c:spPr>
          <c:invertIfNegative val="0"/>
          <c:val>
            <c:numRef>
              <c:f>'Bar Graphs_1'!$D$96:$D$98</c:f>
              <c:numCache>
                <c:formatCode>General</c:formatCode>
                <c:ptCount val="3"/>
                <c:pt idx="0">
                  <c:v>0.95915336143878294</c:v>
                </c:pt>
                <c:pt idx="1">
                  <c:v>1.097868766595461</c:v>
                </c:pt>
                <c:pt idx="2">
                  <c:v>0.94964550492661126</c:v>
                </c:pt>
              </c:numCache>
            </c:numRef>
          </c:val>
          <c:extLst>
            <c:ext xmlns:c16="http://schemas.microsoft.com/office/drawing/2014/chart" uri="{C3380CC4-5D6E-409C-BE32-E72D297353CC}">
              <c16:uniqueId val="{00000000-4EE9-724B-987F-E537BE6E6C39}"/>
            </c:ext>
          </c:extLst>
        </c:ser>
        <c:ser>
          <c:idx val="1"/>
          <c:order val="1"/>
          <c:tx>
            <c:strRef>
              <c:f>'Bar Graphs_1'!$B$99:$B$101</c:f>
              <c:strCache>
                <c:ptCount val="3"/>
                <c:pt idx="0">
                  <c:v>Set 1 24h</c:v>
                </c:pt>
              </c:strCache>
            </c:strRef>
          </c:tx>
          <c:spPr>
            <a:solidFill>
              <a:schemeClr val="accent2">
                <a:shade val="70000"/>
              </a:schemeClr>
            </a:solidFill>
            <a:ln>
              <a:solidFill>
                <a:schemeClr val="tx1"/>
              </a:solidFill>
            </a:ln>
            <a:effectLst/>
          </c:spPr>
          <c:invertIfNegative val="0"/>
          <c:val>
            <c:numRef>
              <c:f>'Bar Graphs_1'!$D$99:$D$101</c:f>
              <c:numCache>
                <c:formatCode>General</c:formatCode>
                <c:ptCount val="3"/>
                <c:pt idx="0">
                  <c:v>0.17263368756432385</c:v>
                </c:pt>
                <c:pt idx="1">
                  <c:v>0.14579369221131175</c:v>
                </c:pt>
                <c:pt idx="2">
                  <c:v>0.18241802336506574</c:v>
                </c:pt>
              </c:numCache>
            </c:numRef>
          </c:val>
          <c:extLst>
            <c:ext xmlns:c16="http://schemas.microsoft.com/office/drawing/2014/chart" uri="{C3380CC4-5D6E-409C-BE32-E72D297353CC}">
              <c16:uniqueId val="{00000001-4EE9-724B-987F-E537BE6E6C39}"/>
            </c:ext>
          </c:extLst>
        </c:ser>
        <c:ser>
          <c:idx val="2"/>
          <c:order val="2"/>
          <c:tx>
            <c:strRef>
              <c:f>'Bar Graphs_1'!$B$102:$B$104</c:f>
              <c:strCache>
                <c:ptCount val="3"/>
                <c:pt idx="0">
                  <c:v>Set 2 24h</c:v>
                </c:pt>
              </c:strCache>
            </c:strRef>
          </c:tx>
          <c:spPr>
            <a:solidFill>
              <a:schemeClr val="accent2">
                <a:shade val="90000"/>
              </a:schemeClr>
            </a:solidFill>
            <a:ln>
              <a:solidFill>
                <a:schemeClr val="tx1"/>
              </a:solidFill>
            </a:ln>
            <a:effectLst/>
          </c:spPr>
          <c:invertIfNegative val="0"/>
          <c:val>
            <c:numRef>
              <c:f>'Bar Graphs_1'!$D$102:$D$104</c:f>
              <c:numCache>
                <c:formatCode>General</c:formatCode>
                <c:ptCount val="3"/>
                <c:pt idx="0">
                  <c:v>0.203634806630802</c:v>
                </c:pt>
                <c:pt idx="1">
                  <c:v>0.19652302631767085</c:v>
                </c:pt>
                <c:pt idx="2">
                  <c:v>0.22371692963999809</c:v>
                </c:pt>
              </c:numCache>
            </c:numRef>
          </c:val>
          <c:extLst>
            <c:ext xmlns:c16="http://schemas.microsoft.com/office/drawing/2014/chart" uri="{C3380CC4-5D6E-409C-BE32-E72D297353CC}">
              <c16:uniqueId val="{00000002-4EE9-724B-987F-E537BE6E6C39}"/>
            </c:ext>
          </c:extLst>
        </c:ser>
        <c:ser>
          <c:idx val="3"/>
          <c:order val="3"/>
          <c:tx>
            <c:strRef>
              <c:f>'Bar Graphs_1'!$B$105:$B$107</c:f>
              <c:strCache>
                <c:ptCount val="3"/>
                <c:pt idx="0">
                  <c:v>Set 4 24h</c:v>
                </c:pt>
              </c:strCache>
            </c:strRef>
          </c:tx>
          <c:spPr>
            <a:solidFill>
              <a:schemeClr val="accent2">
                <a:tint val="90000"/>
              </a:schemeClr>
            </a:solidFill>
            <a:ln>
              <a:solidFill>
                <a:schemeClr val="tx1"/>
              </a:solidFill>
            </a:ln>
            <a:effectLst/>
          </c:spPr>
          <c:invertIfNegative val="0"/>
          <c:val>
            <c:numRef>
              <c:f>'Bar Graphs_1'!$D$105:$D$107</c:f>
              <c:numCache>
                <c:formatCode>General</c:formatCode>
                <c:ptCount val="3"/>
                <c:pt idx="0">
                  <c:v>0.15618700662081381</c:v>
                </c:pt>
                <c:pt idx="1">
                  <c:v>0.22540249484585298</c:v>
                </c:pt>
                <c:pt idx="2">
                  <c:v>0.15771600324890289</c:v>
                </c:pt>
              </c:numCache>
            </c:numRef>
          </c:val>
          <c:extLst>
            <c:ext xmlns:c16="http://schemas.microsoft.com/office/drawing/2014/chart" uri="{C3380CC4-5D6E-409C-BE32-E72D297353CC}">
              <c16:uniqueId val="{00000003-4EE9-724B-987F-E537BE6E6C39}"/>
            </c:ext>
          </c:extLst>
        </c:ser>
        <c:ser>
          <c:idx val="4"/>
          <c:order val="4"/>
          <c:tx>
            <c:strRef>
              <c:f>'Bar Graphs_1'!$B$108:$B$110</c:f>
              <c:strCache>
                <c:ptCount val="3"/>
                <c:pt idx="0">
                  <c:v>Set 5 24h</c:v>
                </c:pt>
              </c:strCache>
            </c:strRef>
          </c:tx>
          <c:spPr>
            <a:solidFill>
              <a:schemeClr val="accent2">
                <a:tint val="70000"/>
              </a:schemeClr>
            </a:solidFill>
            <a:ln>
              <a:solidFill>
                <a:schemeClr val="tx1"/>
              </a:solidFill>
            </a:ln>
            <a:effectLst/>
          </c:spPr>
          <c:invertIfNegative val="0"/>
          <c:val>
            <c:numRef>
              <c:f>'Bar Graphs_1'!$D$108:$D$110</c:f>
              <c:numCache>
                <c:formatCode>General</c:formatCode>
                <c:ptCount val="3"/>
                <c:pt idx="0">
                  <c:v>0.54603343857545172</c:v>
                </c:pt>
                <c:pt idx="1">
                  <c:v>0.21574294462620933</c:v>
                </c:pt>
                <c:pt idx="2">
                  <c:v>0.24454710379394859</c:v>
                </c:pt>
              </c:numCache>
            </c:numRef>
          </c:val>
          <c:extLst>
            <c:ext xmlns:c16="http://schemas.microsoft.com/office/drawing/2014/chart" uri="{C3380CC4-5D6E-409C-BE32-E72D297353CC}">
              <c16:uniqueId val="{00000004-4EE9-724B-987F-E537BE6E6C39}"/>
            </c:ext>
          </c:extLst>
        </c:ser>
        <c:ser>
          <c:idx val="5"/>
          <c:order val="5"/>
          <c:tx>
            <c:strRef>
              <c:f>'Bar Graphs_1'!$B$111:$B$113</c:f>
              <c:strCache>
                <c:ptCount val="3"/>
                <c:pt idx="0">
                  <c:v>GFP 24h</c:v>
                </c:pt>
              </c:strCache>
            </c:strRef>
          </c:tx>
          <c:spPr>
            <a:solidFill>
              <a:schemeClr val="accent2">
                <a:tint val="50000"/>
              </a:schemeClr>
            </a:solidFill>
            <a:ln>
              <a:solidFill>
                <a:schemeClr val="tx1"/>
              </a:solidFill>
            </a:ln>
            <a:effectLst/>
          </c:spPr>
          <c:invertIfNegative val="0"/>
          <c:val>
            <c:numRef>
              <c:f>'Bar Graphs_1'!$D$111:$D$113</c:f>
              <c:numCache>
                <c:formatCode>General</c:formatCode>
                <c:ptCount val="3"/>
                <c:pt idx="0">
                  <c:v>1.1544473806070179</c:v>
                </c:pt>
                <c:pt idx="1">
                  <c:v>1.1888812952940768</c:v>
                </c:pt>
                <c:pt idx="2">
                  <c:v>1.1379667691170592</c:v>
                </c:pt>
              </c:numCache>
            </c:numRef>
          </c:val>
          <c:extLst>
            <c:ext xmlns:c16="http://schemas.microsoft.com/office/drawing/2014/chart" uri="{C3380CC4-5D6E-409C-BE32-E72D297353CC}">
              <c16:uniqueId val="{00000005-4EE9-724B-987F-E537BE6E6C39}"/>
            </c:ext>
          </c:extLst>
        </c:ser>
        <c:dLbls>
          <c:showLegendKey val="0"/>
          <c:showVal val="0"/>
          <c:showCatName val="0"/>
          <c:showSerName val="0"/>
          <c:showPercent val="0"/>
          <c:showBubbleSize val="0"/>
        </c:dLbls>
        <c:gapWidth val="219"/>
        <c:overlap val="-27"/>
        <c:axId val="682610624"/>
        <c:axId val="682617792"/>
      </c:barChart>
      <c:catAx>
        <c:axId val="68261062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50" b="0">
                    <a:solidFill>
                      <a:schemeClr val="tx1"/>
                    </a:solidFill>
                    <a:latin typeface="Times New Roman" panose="02020603050405020304" pitchFamily="18" charset="0"/>
                    <a:cs typeface="Times New Roman" panose="02020603050405020304" pitchFamily="18" charset="0"/>
                  </a:rPr>
                  <a:t>Discriminating</a:t>
                </a:r>
                <a:r>
                  <a:rPr lang="en-US" sz="1050" b="0" baseline="0">
                    <a:solidFill>
                      <a:schemeClr val="tx1"/>
                    </a:solidFill>
                    <a:latin typeface="Times New Roman" panose="02020603050405020304" pitchFamily="18" charset="0"/>
                    <a:cs typeface="Times New Roman" panose="02020603050405020304" pitchFamily="18" charset="0"/>
                  </a:rPr>
                  <a:t> Factor (ex. Timepoint etc)</a:t>
                </a:r>
                <a:endParaRPr lang="en-US" sz="1050" b="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majorTickMark val="none"/>
        <c:minorTickMark val="out"/>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82617792"/>
        <c:crosses val="autoZero"/>
        <c:auto val="1"/>
        <c:lblAlgn val="ctr"/>
        <c:lblOffset val="100"/>
        <c:noMultiLvlLbl val="0"/>
      </c:catAx>
      <c:valAx>
        <c:axId val="682617792"/>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50" b="1" i="1">
                    <a:solidFill>
                      <a:schemeClr val="tx1"/>
                    </a:solidFill>
                    <a:latin typeface="Times New Roman" panose="02020603050405020304" pitchFamily="18" charset="0"/>
                    <a:cs typeface="Times New Roman" panose="02020603050405020304" pitchFamily="18" charset="0"/>
                  </a:rPr>
                  <a:t>c-MET</a:t>
                </a:r>
                <a:r>
                  <a:rPr lang="en-US" sz="1050" b="1" i="1" baseline="0">
                    <a:solidFill>
                      <a:schemeClr val="tx1"/>
                    </a:solidFill>
                    <a:latin typeface="Times New Roman" panose="02020603050405020304" pitchFamily="18" charset="0"/>
                    <a:cs typeface="Times New Roman" panose="02020603050405020304" pitchFamily="18" charset="0"/>
                  </a:rPr>
                  <a:t> 2</a:t>
                </a:r>
                <a:r>
                  <a:rPr lang="en-US" sz="1050" b="1" i="1" baseline="30000">
                    <a:solidFill>
                      <a:schemeClr val="tx1"/>
                    </a:solidFill>
                    <a:latin typeface="Times New Roman" panose="02020603050405020304" pitchFamily="18" charset="0"/>
                    <a:cs typeface="Times New Roman" panose="02020603050405020304" pitchFamily="18" charset="0"/>
                  </a:rPr>
                  <a:t>-∆∆CT</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8261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Gene 3</a:t>
            </a:r>
            <a:r>
              <a:rPr lang="en-US" b="1" baseline="0">
                <a:solidFill>
                  <a:schemeClr val="tx1"/>
                </a:solidFill>
                <a:latin typeface="Times New Roman" panose="02020603050405020304" pitchFamily="18" charset="0"/>
                <a:cs typeface="Times New Roman" panose="02020603050405020304" pitchFamily="18" charset="0"/>
              </a:rPr>
              <a:t> - Averages, SD, Individual points</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rgbClr val="FCAC43"/>
            </a:solidFill>
            <a:ln>
              <a:solidFill>
                <a:schemeClr val="tx1"/>
              </a:solidFill>
            </a:ln>
            <a:effectLst/>
          </c:spPr>
          <c:invertIfNegative val="0"/>
          <c:errBars>
            <c:errBarType val="both"/>
            <c:errValType val="cust"/>
            <c:noEndCap val="0"/>
            <c:plus>
              <c:numRef>
                <c:f>'Bar Graphs_1'!$I$102:$N$102</c:f>
                <c:numCache>
                  <c:formatCode>General</c:formatCode>
                  <c:ptCount val="6"/>
                  <c:pt idx="0">
                    <c:v>8.2968365721510257E-2</c:v>
                  </c:pt>
                  <c:pt idx="1">
                    <c:v>1.8962507789808226E-2</c:v>
                  </c:pt>
                  <c:pt idx="2">
                    <c:v>1.4103057952578957E-2</c:v>
                  </c:pt>
                  <c:pt idx="3">
                    <c:v>3.9527591177183165E-2</c:v>
                  </c:pt>
                  <c:pt idx="4">
                    <c:v>0.1829460303106627</c:v>
                  </c:pt>
                  <c:pt idx="5">
                    <c:v>2.5979459872460864E-2</c:v>
                  </c:pt>
                </c:numCache>
              </c:numRef>
            </c:plus>
            <c:minus>
              <c:numRef>
                <c:f>'Bar Graphs_1'!$I$102:$N$102</c:f>
                <c:numCache>
                  <c:formatCode>General</c:formatCode>
                  <c:ptCount val="6"/>
                  <c:pt idx="0">
                    <c:v>8.2968365721510257E-2</c:v>
                  </c:pt>
                  <c:pt idx="1">
                    <c:v>1.8962507789808226E-2</c:v>
                  </c:pt>
                  <c:pt idx="2">
                    <c:v>1.4103057952578957E-2</c:v>
                  </c:pt>
                  <c:pt idx="3">
                    <c:v>3.9527591177183165E-2</c:v>
                  </c:pt>
                  <c:pt idx="4">
                    <c:v>0.1829460303106627</c:v>
                  </c:pt>
                  <c:pt idx="5">
                    <c:v>2.5979459872460864E-2</c:v>
                  </c:pt>
                </c:numCache>
              </c:numRef>
            </c:minus>
            <c:spPr>
              <a:noFill/>
              <a:ln w="9525" cap="flat" cmpd="sng" algn="ctr">
                <a:solidFill>
                  <a:schemeClr val="tx1"/>
                </a:solidFill>
                <a:round/>
              </a:ln>
              <a:effectLst/>
            </c:spPr>
          </c:errBars>
          <c:cat>
            <c:strRef>
              <c:f>'Bar Graphs_1'!$I$100:$N$100</c:f>
              <c:strCache>
                <c:ptCount val="6"/>
                <c:pt idx="0">
                  <c:v>WT 24h</c:v>
                </c:pt>
                <c:pt idx="1">
                  <c:v>Set 1 24h</c:v>
                </c:pt>
                <c:pt idx="2">
                  <c:v>Set 2 24h</c:v>
                </c:pt>
                <c:pt idx="3">
                  <c:v>Set 4 24h</c:v>
                </c:pt>
                <c:pt idx="4">
                  <c:v>Set 5 24h</c:v>
                </c:pt>
                <c:pt idx="5">
                  <c:v>GFP 24h</c:v>
                </c:pt>
              </c:strCache>
            </c:strRef>
          </c:cat>
          <c:val>
            <c:numRef>
              <c:f>'Bar Graphs_1'!$I$101:$N$101</c:f>
              <c:numCache>
                <c:formatCode>General</c:formatCode>
                <c:ptCount val="6"/>
                <c:pt idx="0">
                  <c:v>1.0022225443202852</c:v>
                </c:pt>
                <c:pt idx="1">
                  <c:v>0.16694846771356711</c:v>
                </c:pt>
                <c:pt idx="2">
                  <c:v>0.20795825419615699</c:v>
                </c:pt>
                <c:pt idx="3">
                  <c:v>0.17976850157185656</c:v>
                </c:pt>
                <c:pt idx="4">
                  <c:v>0.33544116233186988</c:v>
                </c:pt>
                <c:pt idx="5">
                  <c:v>1.1604318150060513</c:v>
                </c:pt>
              </c:numCache>
            </c:numRef>
          </c:val>
          <c:extLst>
            <c:ext xmlns:c16="http://schemas.microsoft.com/office/drawing/2014/chart" uri="{C3380CC4-5D6E-409C-BE32-E72D297353CC}">
              <c16:uniqueId val="{00000000-FDEC-EF49-A30E-8BFDFB7C574B}"/>
            </c:ext>
          </c:extLst>
        </c:ser>
        <c:dLbls>
          <c:showLegendKey val="0"/>
          <c:showVal val="0"/>
          <c:showCatName val="0"/>
          <c:showSerName val="0"/>
          <c:showPercent val="0"/>
          <c:showBubbleSize val="0"/>
        </c:dLbls>
        <c:gapWidth val="78"/>
        <c:overlap val="-57"/>
        <c:axId val="618561536"/>
        <c:axId val="548370880"/>
      </c:barChart>
      <c:scatterChart>
        <c:scatterStyle val="lineMarker"/>
        <c:varyColors val="0"/>
        <c:ser>
          <c:idx val="1"/>
          <c:order val="1"/>
          <c:tx>
            <c:strRef>
              <c:f>'Bar Graphs_1'!$I$95</c:f>
              <c:strCache>
                <c:ptCount val="1"/>
                <c:pt idx="0">
                  <c:v>WT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cust"/>
            <c:noEndCap val="0"/>
            <c:plus>
              <c:numRef>
                <c:f>'Bar Graphs_1'!$I$102:$N$102</c:f>
                <c:numCache>
                  <c:formatCode>General</c:formatCode>
                  <c:ptCount val="6"/>
                  <c:pt idx="0">
                    <c:v>8.2968365721510257E-2</c:v>
                  </c:pt>
                  <c:pt idx="1">
                    <c:v>1.8962507789808226E-2</c:v>
                  </c:pt>
                  <c:pt idx="2">
                    <c:v>1.4103057952578957E-2</c:v>
                  </c:pt>
                  <c:pt idx="3">
                    <c:v>3.9527591177183165E-2</c:v>
                  </c:pt>
                  <c:pt idx="4">
                    <c:v>0.1829460303106627</c:v>
                  </c:pt>
                  <c:pt idx="5">
                    <c:v>2.5979459872460864E-2</c:v>
                  </c:pt>
                </c:numCache>
              </c:numRef>
            </c:plus>
            <c:minus>
              <c:numRef>
                <c:f>'Bar Graphs_1'!$I$102:$N$102</c:f>
                <c:numCache>
                  <c:formatCode>General</c:formatCode>
                  <c:ptCount val="6"/>
                  <c:pt idx="0">
                    <c:v>8.2968365721510257E-2</c:v>
                  </c:pt>
                  <c:pt idx="1">
                    <c:v>1.8962507789808226E-2</c:v>
                  </c:pt>
                  <c:pt idx="2">
                    <c:v>1.4103057952578957E-2</c:v>
                  </c:pt>
                  <c:pt idx="3">
                    <c:v>3.9527591177183165E-2</c:v>
                  </c:pt>
                  <c:pt idx="4">
                    <c:v>0.1829460303106627</c:v>
                  </c:pt>
                  <c:pt idx="5">
                    <c:v>2.5979459872460864E-2</c:v>
                  </c:pt>
                </c:numCache>
              </c:numRef>
            </c:minus>
            <c:spPr>
              <a:noFill/>
              <a:ln w="9525" cap="flat" cmpd="sng" algn="ctr">
                <a:solidFill>
                  <a:schemeClr val="tx1"/>
                </a:solidFill>
                <a:round/>
              </a:ln>
              <a:effectLst/>
            </c:spPr>
          </c:errBars>
          <c:xVal>
            <c:numRef>
              <c:f>'Bar Graphs_1'!$H$96:$H$98</c:f>
              <c:numCache>
                <c:formatCode>General</c:formatCode>
                <c:ptCount val="3"/>
                <c:pt idx="0">
                  <c:v>1.002</c:v>
                </c:pt>
                <c:pt idx="1">
                  <c:v>1.002</c:v>
                </c:pt>
                <c:pt idx="2">
                  <c:v>1.002</c:v>
                </c:pt>
              </c:numCache>
            </c:numRef>
          </c:xVal>
          <c:yVal>
            <c:numRef>
              <c:f>'Bar Graphs_1'!$I$96:$I$98</c:f>
              <c:numCache>
                <c:formatCode>General</c:formatCode>
                <c:ptCount val="3"/>
                <c:pt idx="0">
                  <c:v>0.95915336143878294</c:v>
                </c:pt>
                <c:pt idx="1">
                  <c:v>1.097868766595461</c:v>
                </c:pt>
                <c:pt idx="2">
                  <c:v>0.94964550492661126</c:v>
                </c:pt>
              </c:numCache>
            </c:numRef>
          </c:yVal>
          <c:smooth val="0"/>
          <c:extLst>
            <c:ext xmlns:c16="http://schemas.microsoft.com/office/drawing/2014/chart" uri="{C3380CC4-5D6E-409C-BE32-E72D297353CC}">
              <c16:uniqueId val="{00000001-FDEC-EF49-A30E-8BFDFB7C574B}"/>
            </c:ext>
          </c:extLst>
        </c:ser>
        <c:ser>
          <c:idx val="2"/>
          <c:order val="2"/>
          <c:tx>
            <c:strRef>
              <c:f>'Bar Graphs_1'!$K$95</c:f>
              <c:strCache>
                <c:ptCount val="1"/>
                <c:pt idx="0">
                  <c:v>Set 1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Graphs_1'!$J$96:$J$98</c:f>
              <c:numCache>
                <c:formatCode>General</c:formatCode>
                <c:ptCount val="3"/>
                <c:pt idx="0">
                  <c:v>2.0019999999999998</c:v>
                </c:pt>
                <c:pt idx="1">
                  <c:v>2.0019999999999998</c:v>
                </c:pt>
                <c:pt idx="2">
                  <c:v>2.0019999999999998</c:v>
                </c:pt>
              </c:numCache>
            </c:numRef>
          </c:xVal>
          <c:yVal>
            <c:numRef>
              <c:f>'Bar Graphs_1'!$K$96:$K$98</c:f>
              <c:numCache>
                <c:formatCode>General</c:formatCode>
                <c:ptCount val="3"/>
                <c:pt idx="0">
                  <c:v>0.17263368756432385</c:v>
                </c:pt>
                <c:pt idx="1">
                  <c:v>0.14579369221131175</c:v>
                </c:pt>
                <c:pt idx="2">
                  <c:v>0.18241802336506574</c:v>
                </c:pt>
              </c:numCache>
            </c:numRef>
          </c:yVal>
          <c:smooth val="0"/>
          <c:extLst>
            <c:ext xmlns:c16="http://schemas.microsoft.com/office/drawing/2014/chart" uri="{C3380CC4-5D6E-409C-BE32-E72D297353CC}">
              <c16:uniqueId val="{00000002-FDEC-EF49-A30E-8BFDFB7C574B}"/>
            </c:ext>
          </c:extLst>
        </c:ser>
        <c:ser>
          <c:idx val="3"/>
          <c:order val="3"/>
          <c:tx>
            <c:strRef>
              <c:f>'Bar Graphs_1'!$M$95</c:f>
              <c:strCache>
                <c:ptCount val="1"/>
                <c:pt idx="0">
                  <c:v>Set 2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Graphs_1'!$L$96:$L$98</c:f>
              <c:numCache>
                <c:formatCode>General</c:formatCode>
                <c:ptCount val="3"/>
                <c:pt idx="0">
                  <c:v>3.0019999999999998</c:v>
                </c:pt>
                <c:pt idx="1">
                  <c:v>3.0019999999999998</c:v>
                </c:pt>
                <c:pt idx="2">
                  <c:v>3.0019999999999998</c:v>
                </c:pt>
              </c:numCache>
            </c:numRef>
          </c:xVal>
          <c:yVal>
            <c:numRef>
              <c:f>'Bar Graphs_1'!$M$96:$M$98</c:f>
              <c:numCache>
                <c:formatCode>General</c:formatCode>
                <c:ptCount val="3"/>
                <c:pt idx="0">
                  <c:v>0.203634806630802</c:v>
                </c:pt>
                <c:pt idx="1">
                  <c:v>0.19652302631767085</c:v>
                </c:pt>
                <c:pt idx="2">
                  <c:v>0.22371692963999809</c:v>
                </c:pt>
              </c:numCache>
            </c:numRef>
          </c:yVal>
          <c:smooth val="0"/>
          <c:extLst>
            <c:ext xmlns:c16="http://schemas.microsoft.com/office/drawing/2014/chart" uri="{C3380CC4-5D6E-409C-BE32-E72D297353CC}">
              <c16:uniqueId val="{00000003-FDEC-EF49-A30E-8BFDFB7C574B}"/>
            </c:ext>
          </c:extLst>
        </c:ser>
        <c:ser>
          <c:idx val="4"/>
          <c:order val="4"/>
          <c:tx>
            <c:strRef>
              <c:f>'Bar Graphs_1'!$O$95</c:f>
              <c:strCache>
                <c:ptCount val="1"/>
                <c:pt idx="0">
                  <c:v>Set 4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Graphs_1'!$N$96:$N$98</c:f>
              <c:numCache>
                <c:formatCode>General</c:formatCode>
                <c:ptCount val="3"/>
                <c:pt idx="0">
                  <c:v>4.0019999999999998</c:v>
                </c:pt>
                <c:pt idx="1">
                  <c:v>4.0019999999999998</c:v>
                </c:pt>
                <c:pt idx="2">
                  <c:v>4.0019999999999998</c:v>
                </c:pt>
              </c:numCache>
            </c:numRef>
          </c:xVal>
          <c:yVal>
            <c:numRef>
              <c:f>'Bar Graphs_1'!$O$96:$O$98</c:f>
              <c:numCache>
                <c:formatCode>General</c:formatCode>
                <c:ptCount val="3"/>
                <c:pt idx="0">
                  <c:v>0.15618700662081381</c:v>
                </c:pt>
                <c:pt idx="1">
                  <c:v>0.22540249484585298</c:v>
                </c:pt>
                <c:pt idx="2">
                  <c:v>0.15771600324890289</c:v>
                </c:pt>
              </c:numCache>
            </c:numRef>
          </c:yVal>
          <c:smooth val="0"/>
          <c:extLst>
            <c:ext xmlns:c16="http://schemas.microsoft.com/office/drawing/2014/chart" uri="{C3380CC4-5D6E-409C-BE32-E72D297353CC}">
              <c16:uniqueId val="{00000004-FDEC-EF49-A30E-8BFDFB7C574B}"/>
            </c:ext>
          </c:extLst>
        </c:ser>
        <c:ser>
          <c:idx val="5"/>
          <c:order val="5"/>
          <c:tx>
            <c:strRef>
              <c:f>'Bar Graphs_1'!$Q$95</c:f>
              <c:strCache>
                <c:ptCount val="1"/>
                <c:pt idx="0">
                  <c:v>Set 5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Graphs_1'!$P$96:$P$98</c:f>
              <c:numCache>
                <c:formatCode>General</c:formatCode>
                <c:ptCount val="3"/>
                <c:pt idx="0">
                  <c:v>5.0019999999999998</c:v>
                </c:pt>
                <c:pt idx="1">
                  <c:v>5.0019999999999998</c:v>
                </c:pt>
                <c:pt idx="2">
                  <c:v>5.0019999999999998</c:v>
                </c:pt>
              </c:numCache>
            </c:numRef>
          </c:xVal>
          <c:yVal>
            <c:numRef>
              <c:f>'Bar Graphs_1'!$Q$96:$Q$98</c:f>
              <c:numCache>
                <c:formatCode>General</c:formatCode>
                <c:ptCount val="3"/>
                <c:pt idx="0">
                  <c:v>0.54603343857545172</c:v>
                </c:pt>
                <c:pt idx="1">
                  <c:v>0.21574294462620933</c:v>
                </c:pt>
                <c:pt idx="2">
                  <c:v>0.24454710379394859</c:v>
                </c:pt>
              </c:numCache>
            </c:numRef>
          </c:yVal>
          <c:smooth val="0"/>
          <c:extLst>
            <c:ext xmlns:c16="http://schemas.microsoft.com/office/drawing/2014/chart" uri="{C3380CC4-5D6E-409C-BE32-E72D297353CC}">
              <c16:uniqueId val="{00000005-FDEC-EF49-A30E-8BFDFB7C574B}"/>
            </c:ext>
          </c:extLst>
        </c:ser>
        <c:ser>
          <c:idx val="6"/>
          <c:order val="6"/>
          <c:tx>
            <c:strRef>
              <c:f>'Bar Graphs_1'!$S$95</c:f>
              <c:strCache>
                <c:ptCount val="1"/>
                <c:pt idx="0">
                  <c:v>GFP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Graphs_1'!$R$96:$R$98</c:f>
              <c:numCache>
                <c:formatCode>General</c:formatCode>
                <c:ptCount val="3"/>
                <c:pt idx="0">
                  <c:v>6.0019999999999998</c:v>
                </c:pt>
                <c:pt idx="1">
                  <c:v>6.0019999999999998</c:v>
                </c:pt>
                <c:pt idx="2">
                  <c:v>6.0019999999999998</c:v>
                </c:pt>
              </c:numCache>
            </c:numRef>
          </c:xVal>
          <c:yVal>
            <c:numRef>
              <c:f>'Bar Graphs_1'!$S$96:$S$98</c:f>
              <c:numCache>
                <c:formatCode>General</c:formatCode>
                <c:ptCount val="3"/>
                <c:pt idx="0">
                  <c:v>1.1544473806070179</c:v>
                </c:pt>
                <c:pt idx="1">
                  <c:v>1.1888812952940768</c:v>
                </c:pt>
                <c:pt idx="2">
                  <c:v>1.1379667691170592</c:v>
                </c:pt>
              </c:numCache>
            </c:numRef>
          </c:yVal>
          <c:smooth val="0"/>
          <c:extLst>
            <c:ext xmlns:c16="http://schemas.microsoft.com/office/drawing/2014/chart" uri="{C3380CC4-5D6E-409C-BE32-E72D297353CC}">
              <c16:uniqueId val="{00000006-FDEC-EF49-A30E-8BFDFB7C574B}"/>
            </c:ext>
          </c:extLst>
        </c:ser>
        <c:dLbls>
          <c:showLegendKey val="0"/>
          <c:showVal val="0"/>
          <c:showCatName val="0"/>
          <c:showSerName val="0"/>
          <c:showPercent val="0"/>
          <c:showBubbleSize val="0"/>
        </c:dLbls>
        <c:axId val="618561536"/>
        <c:axId val="548370880"/>
      </c:scatterChart>
      <c:catAx>
        <c:axId val="618561536"/>
        <c:scaling>
          <c:orientation val="minMax"/>
        </c:scaling>
        <c:delete val="0"/>
        <c:axPos val="b"/>
        <c:numFmt formatCode="General" sourceLinked="1"/>
        <c:majorTickMark val="none"/>
        <c:minorTickMark val="out"/>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48370880"/>
        <c:crosses val="autoZero"/>
        <c:auto val="1"/>
        <c:lblAlgn val="ctr"/>
        <c:lblOffset val="100"/>
        <c:noMultiLvlLbl val="0"/>
      </c:catAx>
      <c:valAx>
        <c:axId val="548370880"/>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1" u="none" strike="noStrike" kern="1200" baseline="0">
                    <a:solidFill>
                      <a:schemeClr val="tx1"/>
                    </a:solidFill>
                    <a:latin typeface="Times New Roman" panose="02020603050405020304" pitchFamily="18" charset="0"/>
                    <a:cs typeface="Times New Roman" panose="02020603050405020304" pitchFamily="18" charset="0"/>
                  </a:rPr>
                  <a:t>c-MET 2</a:t>
                </a:r>
                <a:r>
                  <a:rPr lang="en-US" sz="1000" b="1" i="1" u="none" strike="noStrike" kern="1200" baseline="30000">
                    <a:solidFill>
                      <a:schemeClr val="tx1"/>
                    </a:solidFill>
                    <a:latin typeface="Times New Roman" panose="02020603050405020304" pitchFamily="18" charset="0"/>
                    <a:cs typeface="Times New Roman" panose="02020603050405020304" pitchFamily="18" charset="0"/>
                  </a:rPr>
                  <a:t>-∆∆CT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1856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Gene 4 - Each Replicate Individually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'Bar Graphs_1'!$B$136:$B$138</c:f>
              <c:strCache>
                <c:ptCount val="3"/>
                <c:pt idx="0">
                  <c:v>WT 24h</c:v>
                </c:pt>
              </c:strCache>
            </c:strRef>
          </c:tx>
          <c:spPr>
            <a:solidFill>
              <a:srgbClr val="FF6DDD"/>
            </a:solidFill>
            <a:ln>
              <a:solidFill>
                <a:schemeClr val="tx1"/>
              </a:solidFill>
            </a:ln>
            <a:effectLst/>
          </c:spPr>
          <c:invertIfNegative val="0"/>
          <c:val>
            <c:numRef>
              <c:f>'Bar Graphs_1'!$D$136:$D$138</c:f>
              <c:numCache>
                <c:formatCode>General</c:formatCode>
                <c:ptCount val="3"/>
                <c:pt idx="0">
                  <c:v>0.95731126495480512</c:v>
                </c:pt>
                <c:pt idx="1">
                  <c:v>1.2481682015320135</c:v>
                </c:pt>
                <c:pt idx="2">
                  <c:v>0.83690028612303802</c:v>
                </c:pt>
              </c:numCache>
            </c:numRef>
          </c:val>
          <c:extLst>
            <c:ext xmlns:c16="http://schemas.microsoft.com/office/drawing/2014/chart" uri="{C3380CC4-5D6E-409C-BE32-E72D297353CC}">
              <c16:uniqueId val="{00000000-7A62-354A-9D5D-91F2D7143670}"/>
            </c:ext>
          </c:extLst>
        </c:ser>
        <c:ser>
          <c:idx val="1"/>
          <c:order val="1"/>
          <c:tx>
            <c:strRef>
              <c:f>'Bar Graphs_1'!$B$139:$B$141</c:f>
              <c:strCache>
                <c:ptCount val="3"/>
                <c:pt idx="0">
                  <c:v>Set 1 24h</c:v>
                </c:pt>
              </c:strCache>
            </c:strRef>
          </c:tx>
          <c:spPr>
            <a:solidFill>
              <a:srgbClr val="FF81E1"/>
            </a:solidFill>
            <a:ln>
              <a:solidFill>
                <a:schemeClr val="tx1"/>
              </a:solidFill>
            </a:ln>
            <a:effectLst/>
          </c:spPr>
          <c:invertIfNegative val="0"/>
          <c:val>
            <c:numRef>
              <c:f>'Bar Graphs_1'!$D$139:$D$141</c:f>
              <c:numCache>
                <c:formatCode>General</c:formatCode>
                <c:ptCount val="3"/>
                <c:pt idx="0">
                  <c:v>0.13073718193499692</c:v>
                </c:pt>
                <c:pt idx="1">
                  <c:v>0.12537895240865263</c:v>
                </c:pt>
                <c:pt idx="2">
                  <c:v>5.9698232560464519E-2</c:v>
                </c:pt>
              </c:numCache>
            </c:numRef>
          </c:val>
          <c:extLst>
            <c:ext xmlns:c16="http://schemas.microsoft.com/office/drawing/2014/chart" uri="{C3380CC4-5D6E-409C-BE32-E72D297353CC}">
              <c16:uniqueId val="{00000001-7A62-354A-9D5D-91F2D7143670}"/>
            </c:ext>
          </c:extLst>
        </c:ser>
        <c:ser>
          <c:idx val="2"/>
          <c:order val="2"/>
          <c:tx>
            <c:strRef>
              <c:f>'Bar Graphs_1'!$B$142:$B$144</c:f>
              <c:strCache>
                <c:ptCount val="3"/>
                <c:pt idx="0">
                  <c:v>Set 2 24h</c:v>
                </c:pt>
              </c:strCache>
            </c:strRef>
          </c:tx>
          <c:spPr>
            <a:solidFill>
              <a:srgbClr val="FF95E4"/>
            </a:solidFill>
            <a:ln>
              <a:solidFill>
                <a:schemeClr val="tx1"/>
              </a:solidFill>
            </a:ln>
            <a:effectLst/>
          </c:spPr>
          <c:invertIfNegative val="0"/>
          <c:val>
            <c:numRef>
              <c:f>'Bar Graphs_1'!$D$142:$D$144</c:f>
              <c:numCache>
                <c:formatCode>General</c:formatCode>
                <c:ptCount val="3"/>
                <c:pt idx="0">
                  <c:v>0.27739609685027516</c:v>
                </c:pt>
                <c:pt idx="1">
                  <c:v>0.33283428878825</c:v>
                </c:pt>
                <c:pt idx="2">
                  <c:v>0.25252212251741291</c:v>
                </c:pt>
              </c:numCache>
            </c:numRef>
          </c:val>
          <c:extLst>
            <c:ext xmlns:c16="http://schemas.microsoft.com/office/drawing/2014/chart" uri="{C3380CC4-5D6E-409C-BE32-E72D297353CC}">
              <c16:uniqueId val="{00000002-7A62-354A-9D5D-91F2D7143670}"/>
            </c:ext>
          </c:extLst>
        </c:ser>
        <c:ser>
          <c:idx val="3"/>
          <c:order val="3"/>
          <c:tx>
            <c:strRef>
              <c:f>'Bar Graphs_1'!$B$145:$B$147</c:f>
              <c:strCache>
                <c:ptCount val="3"/>
                <c:pt idx="0">
                  <c:v>Set 4 24h</c:v>
                </c:pt>
              </c:strCache>
            </c:strRef>
          </c:tx>
          <c:spPr>
            <a:solidFill>
              <a:srgbClr val="FFBDEB"/>
            </a:solidFill>
            <a:ln>
              <a:solidFill>
                <a:schemeClr val="tx1"/>
              </a:solidFill>
            </a:ln>
            <a:effectLst/>
          </c:spPr>
          <c:invertIfNegative val="0"/>
          <c:val>
            <c:numRef>
              <c:f>'Bar Graphs_1'!$D$145:$D$147</c:f>
              <c:numCache>
                <c:formatCode>General</c:formatCode>
                <c:ptCount val="3"/>
                <c:pt idx="0">
                  <c:v>5.0831043712823501E-2</c:v>
                </c:pt>
                <c:pt idx="1">
                  <c:v>2.7780139338319788E-2</c:v>
                </c:pt>
                <c:pt idx="2">
                  <c:v>3.2949011439087919E-2</c:v>
                </c:pt>
              </c:numCache>
            </c:numRef>
          </c:val>
          <c:extLst>
            <c:ext xmlns:c16="http://schemas.microsoft.com/office/drawing/2014/chart" uri="{C3380CC4-5D6E-409C-BE32-E72D297353CC}">
              <c16:uniqueId val="{00000003-7A62-354A-9D5D-91F2D7143670}"/>
            </c:ext>
          </c:extLst>
        </c:ser>
        <c:ser>
          <c:idx val="4"/>
          <c:order val="4"/>
          <c:tx>
            <c:strRef>
              <c:f>'Bar Graphs_1'!$B$148:$B$150</c:f>
              <c:strCache>
                <c:ptCount val="3"/>
                <c:pt idx="0">
                  <c:v>Set 5 24h</c:v>
                </c:pt>
              </c:strCache>
            </c:strRef>
          </c:tx>
          <c:spPr>
            <a:solidFill>
              <a:srgbClr val="FFD1EF"/>
            </a:solidFill>
            <a:ln>
              <a:solidFill>
                <a:schemeClr val="tx1"/>
              </a:solidFill>
            </a:ln>
            <a:effectLst/>
          </c:spPr>
          <c:invertIfNegative val="0"/>
          <c:val>
            <c:numRef>
              <c:f>'Bar Graphs_1'!$D$148:$D$150</c:f>
              <c:numCache>
                <c:formatCode>General</c:formatCode>
                <c:ptCount val="3"/>
                <c:pt idx="0">
                  <c:v>0.10646655967893662</c:v>
                </c:pt>
                <c:pt idx="1">
                  <c:v>2.6901889522691499E-2</c:v>
                </c:pt>
                <c:pt idx="2">
                  <c:v>2.6780611311067268E-2</c:v>
                </c:pt>
              </c:numCache>
            </c:numRef>
          </c:val>
          <c:extLst>
            <c:ext xmlns:c16="http://schemas.microsoft.com/office/drawing/2014/chart" uri="{C3380CC4-5D6E-409C-BE32-E72D297353CC}">
              <c16:uniqueId val="{00000004-7A62-354A-9D5D-91F2D7143670}"/>
            </c:ext>
          </c:extLst>
        </c:ser>
        <c:ser>
          <c:idx val="5"/>
          <c:order val="5"/>
          <c:tx>
            <c:strRef>
              <c:f>'Bar Graphs_1'!$B$151:$B$153</c:f>
              <c:strCache>
                <c:ptCount val="3"/>
                <c:pt idx="0">
                  <c:v>GFP 24h</c:v>
                </c:pt>
              </c:strCache>
            </c:strRef>
          </c:tx>
          <c:spPr>
            <a:solidFill>
              <a:srgbClr val="F8EAF8"/>
            </a:solidFill>
            <a:ln>
              <a:solidFill>
                <a:schemeClr val="tx1"/>
              </a:solidFill>
            </a:ln>
            <a:effectLst/>
          </c:spPr>
          <c:invertIfNegative val="0"/>
          <c:val>
            <c:numRef>
              <c:f>'Bar Graphs_1'!$D$151:$D$153</c:f>
              <c:numCache>
                <c:formatCode>General</c:formatCode>
                <c:ptCount val="3"/>
                <c:pt idx="0">
                  <c:v>2.0542703207127788</c:v>
                </c:pt>
                <c:pt idx="1">
                  <c:v>2.0530443855219693</c:v>
                </c:pt>
                <c:pt idx="2">
                  <c:v>2.1999258501230425</c:v>
                </c:pt>
              </c:numCache>
            </c:numRef>
          </c:val>
          <c:extLst>
            <c:ext xmlns:c16="http://schemas.microsoft.com/office/drawing/2014/chart" uri="{C3380CC4-5D6E-409C-BE32-E72D297353CC}">
              <c16:uniqueId val="{00000005-7A62-354A-9D5D-91F2D7143670}"/>
            </c:ext>
          </c:extLst>
        </c:ser>
        <c:dLbls>
          <c:showLegendKey val="0"/>
          <c:showVal val="0"/>
          <c:showCatName val="0"/>
          <c:showSerName val="0"/>
          <c:showPercent val="0"/>
          <c:showBubbleSize val="0"/>
        </c:dLbls>
        <c:gapWidth val="219"/>
        <c:overlap val="-27"/>
        <c:axId val="682610624"/>
        <c:axId val="682617792"/>
      </c:barChart>
      <c:catAx>
        <c:axId val="68261062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50" b="0">
                    <a:solidFill>
                      <a:schemeClr val="tx1"/>
                    </a:solidFill>
                    <a:latin typeface="Times New Roman" panose="02020603050405020304" pitchFamily="18" charset="0"/>
                    <a:cs typeface="Times New Roman" panose="02020603050405020304" pitchFamily="18" charset="0"/>
                  </a:rPr>
                  <a:t>Discriminating</a:t>
                </a:r>
                <a:r>
                  <a:rPr lang="en-US" sz="1050" b="0" baseline="0">
                    <a:solidFill>
                      <a:schemeClr val="tx1"/>
                    </a:solidFill>
                    <a:latin typeface="Times New Roman" panose="02020603050405020304" pitchFamily="18" charset="0"/>
                    <a:cs typeface="Times New Roman" panose="02020603050405020304" pitchFamily="18" charset="0"/>
                  </a:rPr>
                  <a:t> Factor (ex. Timepoint etc)</a:t>
                </a:r>
                <a:endParaRPr lang="en-US" sz="1050" b="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majorTickMark val="none"/>
        <c:minorTickMark val="out"/>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82617792"/>
        <c:crosses val="autoZero"/>
        <c:auto val="1"/>
        <c:lblAlgn val="ctr"/>
        <c:lblOffset val="100"/>
        <c:noMultiLvlLbl val="0"/>
      </c:catAx>
      <c:valAx>
        <c:axId val="682617792"/>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50" b="1" i="1">
                    <a:solidFill>
                      <a:schemeClr val="tx1"/>
                    </a:solidFill>
                    <a:latin typeface="Times New Roman" panose="02020603050405020304" pitchFamily="18" charset="0"/>
                    <a:cs typeface="Times New Roman" panose="02020603050405020304" pitchFamily="18" charset="0"/>
                  </a:rPr>
                  <a:t>c-MET</a:t>
                </a:r>
                <a:r>
                  <a:rPr lang="en-US" sz="1050" b="1" i="1" baseline="0">
                    <a:solidFill>
                      <a:schemeClr val="tx1"/>
                    </a:solidFill>
                    <a:latin typeface="Times New Roman" panose="02020603050405020304" pitchFamily="18" charset="0"/>
                    <a:cs typeface="Times New Roman" panose="02020603050405020304" pitchFamily="18" charset="0"/>
                  </a:rPr>
                  <a:t> 2</a:t>
                </a:r>
                <a:r>
                  <a:rPr lang="en-US" sz="1050" b="1" i="1" baseline="30000">
                    <a:solidFill>
                      <a:schemeClr val="tx1"/>
                    </a:solidFill>
                    <a:latin typeface="Times New Roman" panose="02020603050405020304" pitchFamily="18" charset="0"/>
                    <a:cs typeface="Times New Roman" panose="02020603050405020304" pitchFamily="18" charset="0"/>
                  </a:rPr>
                  <a:t>-∆∆CT</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8261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Gene 4</a:t>
            </a:r>
            <a:r>
              <a:rPr lang="en-US" b="1" baseline="0">
                <a:solidFill>
                  <a:schemeClr val="tx1"/>
                </a:solidFill>
                <a:latin typeface="Times New Roman" panose="02020603050405020304" pitchFamily="18" charset="0"/>
                <a:cs typeface="Times New Roman" panose="02020603050405020304" pitchFamily="18" charset="0"/>
              </a:rPr>
              <a:t> - Averages, SD, Individual points</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rgbClr val="FF81E1"/>
            </a:solidFill>
            <a:ln>
              <a:solidFill>
                <a:schemeClr val="tx1"/>
              </a:solidFill>
            </a:ln>
            <a:effectLst/>
          </c:spPr>
          <c:invertIfNegative val="0"/>
          <c:errBars>
            <c:errBarType val="both"/>
            <c:errValType val="cust"/>
            <c:noEndCap val="0"/>
            <c:plus>
              <c:numRef>
                <c:f>'Bar Graphs_1'!$I$142:$N$142</c:f>
                <c:numCache>
                  <c:formatCode>General</c:formatCode>
                  <c:ptCount val="6"/>
                  <c:pt idx="0">
                    <c:v>0.21143866708147527</c:v>
                  </c:pt>
                  <c:pt idx="1">
                    <c:v>3.9558395467272002E-2</c:v>
                  </c:pt>
                  <c:pt idx="2">
                    <c:v>4.1113971217373708E-2</c:v>
                  </c:pt>
                  <c:pt idx="3">
                    <c:v>1.2095650110098371E-2</c:v>
                  </c:pt>
                  <c:pt idx="4">
                    <c:v>4.5971733729839245E-2</c:v>
                  </c:pt>
                  <c:pt idx="5">
                    <c:v>8.4450380705903855E-2</c:v>
                  </c:pt>
                </c:numCache>
              </c:numRef>
            </c:plus>
            <c:minus>
              <c:numRef>
                <c:f>'Bar Graphs_1'!$I$142:$N$142</c:f>
                <c:numCache>
                  <c:formatCode>General</c:formatCode>
                  <c:ptCount val="6"/>
                  <c:pt idx="0">
                    <c:v>0.21143866708147527</c:v>
                  </c:pt>
                  <c:pt idx="1">
                    <c:v>3.9558395467272002E-2</c:v>
                  </c:pt>
                  <c:pt idx="2">
                    <c:v>4.1113971217373708E-2</c:v>
                  </c:pt>
                  <c:pt idx="3">
                    <c:v>1.2095650110098371E-2</c:v>
                  </c:pt>
                  <c:pt idx="4">
                    <c:v>4.5971733729839245E-2</c:v>
                  </c:pt>
                  <c:pt idx="5">
                    <c:v>8.4450380705903855E-2</c:v>
                  </c:pt>
                </c:numCache>
              </c:numRef>
            </c:minus>
            <c:spPr>
              <a:noFill/>
              <a:ln w="9525" cap="flat" cmpd="sng" algn="ctr">
                <a:solidFill>
                  <a:schemeClr val="tx1"/>
                </a:solidFill>
                <a:round/>
              </a:ln>
              <a:effectLst/>
            </c:spPr>
          </c:errBars>
          <c:cat>
            <c:strRef>
              <c:f>'Bar Graphs_1'!$I$140:$N$140</c:f>
              <c:strCache>
                <c:ptCount val="6"/>
                <c:pt idx="0">
                  <c:v>WT 24h</c:v>
                </c:pt>
                <c:pt idx="1">
                  <c:v>Set 1 24h</c:v>
                </c:pt>
                <c:pt idx="2">
                  <c:v>Set 2 24h</c:v>
                </c:pt>
                <c:pt idx="3">
                  <c:v>Set 4 24h</c:v>
                </c:pt>
                <c:pt idx="4">
                  <c:v>Set 5 24h</c:v>
                </c:pt>
                <c:pt idx="5">
                  <c:v>GFP 24h</c:v>
                </c:pt>
              </c:strCache>
            </c:strRef>
          </c:cat>
          <c:val>
            <c:numRef>
              <c:f>'Bar Graphs_1'!$I$141:$N$141</c:f>
              <c:numCache>
                <c:formatCode>General</c:formatCode>
                <c:ptCount val="6"/>
                <c:pt idx="0">
                  <c:v>1.0141265842032856</c:v>
                </c:pt>
                <c:pt idx="1">
                  <c:v>0.10527145563470469</c:v>
                </c:pt>
                <c:pt idx="2">
                  <c:v>0.28758416938531267</c:v>
                </c:pt>
                <c:pt idx="3">
                  <c:v>3.7186731496743737E-2</c:v>
                </c:pt>
                <c:pt idx="4">
                  <c:v>5.3383020170898458E-2</c:v>
                </c:pt>
                <c:pt idx="5">
                  <c:v>2.1024135187859301</c:v>
                </c:pt>
              </c:numCache>
            </c:numRef>
          </c:val>
          <c:extLst>
            <c:ext xmlns:c16="http://schemas.microsoft.com/office/drawing/2014/chart" uri="{C3380CC4-5D6E-409C-BE32-E72D297353CC}">
              <c16:uniqueId val="{00000000-763E-F14B-A441-024A5542E5AB}"/>
            </c:ext>
          </c:extLst>
        </c:ser>
        <c:dLbls>
          <c:showLegendKey val="0"/>
          <c:showVal val="0"/>
          <c:showCatName val="0"/>
          <c:showSerName val="0"/>
          <c:showPercent val="0"/>
          <c:showBubbleSize val="0"/>
        </c:dLbls>
        <c:gapWidth val="78"/>
        <c:overlap val="-57"/>
        <c:axId val="618561536"/>
        <c:axId val="548370880"/>
      </c:barChart>
      <c:scatterChart>
        <c:scatterStyle val="lineMarker"/>
        <c:varyColors val="0"/>
        <c:ser>
          <c:idx val="1"/>
          <c:order val="1"/>
          <c:tx>
            <c:strRef>
              <c:f>'Bar Graphs_1'!$I$135</c:f>
              <c:strCache>
                <c:ptCount val="1"/>
                <c:pt idx="0">
                  <c:v>WT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cust"/>
            <c:noEndCap val="0"/>
            <c:plus>
              <c:numRef>
                <c:f>'Bar Graphs_1'!$I$142:$N$142</c:f>
                <c:numCache>
                  <c:formatCode>General</c:formatCode>
                  <c:ptCount val="6"/>
                  <c:pt idx="0">
                    <c:v>0.21143866708147527</c:v>
                  </c:pt>
                  <c:pt idx="1">
                    <c:v>3.9558395467272002E-2</c:v>
                  </c:pt>
                  <c:pt idx="2">
                    <c:v>4.1113971217373708E-2</c:v>
                  </c:pt>
                  <c:pt idx="3">
                    <c:v>1.2095650110098371E-2</c:v>
                  </c:pt>
                  <c:pt idx="4">
                    <c:v>4.5971733729839245E-2</c:v>
                  </c:pt>
                  <c:pt idx="5">
                    <c:v>8.4450380705903855E-2</c:v>
                  </c:pt>
                </c:numCache>
              </c:numRef>
            </c:plus>
            <c:minus>
              <c:numRef>
                <c:f>'Bar Graphs_1'!$I$142:$N$142</c:f>
                <c:numCache>
                  <c:formatCode>General</c:formatCode>
                  <c:ptCount val="6"/>
                  <c:pt idx="0">
                    <c:v>0.21143866708147527</c:v>
                  </c:pt>
                  <c:pt idx="1">
                    <c:v>3.9558395467272002E-2</c:v>
                  </c:pt>
                  <c:pt idx="2">
                    <c:v>4.1113971217373708E-2</c:v>
                  </c:pt>
                  <c:pt idx="3">
                    <c:v>1.2095650110098371E-2</c:v>
                  </c:pt>
                  <c:pt idx="4">
                    <c:v>4.5971733729839245E-2</c:v>
                  </c:pt>
                  <c:pt idx="5">
                    <c:v>8.4450380705903855E-2</c:v>
                  </c:pt>
                </c:numCache>
              </c:numRef>
            </c:minus>
            <c:spPr>
              <a:noFill/>
              <a:ln w="9525" cap="flat" cmpd="sng" algn="ctr">
                <a:solidFill>
                  <a:schemeClr val="tx1"/>
                </a:solidFill>
                <a:round/>
              </a:ln>
              <a:effectLst/>
            </c:spPr>
          </c:errBars>
          <c:xVal>
            <c:numRef>
              <c:f>'Bar Graphs_1'!$H$136:$H$138</c:f>
              <c:numCache>
                <c:formatCode>General</c:formatCode>
                <c:ptCount val="3"/>
                <c:pt idx="0">
                  <c:v>1.002</c:v>
                </c:pt>
                <c:pt idx="1">
                  <c:v>1.002</c:v>
                </c:pt>
                <c:pt idx="2">
                  <c:v>1.002</c:v>
                </c:pt>
              </c:numCache>
            </c:numRef>
          </c:xVal>
          <c:yVal>
            <c:numRef>
              <c:f>'Bar Graphs_1'!$I$136:$I$138</c:f>
              <c:numCache>
                <c:formatCode>General</c:formatCode>
                <c:ptCount val="3"/>
                <c:pt idx="0">
                  <c:v>0.95731126495480512</c:v>
                </c:pt>
                <c:pt idx="1">
                  <c:v>1.2481682015320135</c:v>
                </c:pt>
                <c:pt idx="2">
                  <c:v>0.83690028612303802</c:v>
                </c:pt>
              </c:numCache>
            </c:numRef>
          </c:yVal>
          <c:smooth val="0"/>
          <c:extLst>
            <c:ext xmlns:c16="http://schemas.microsoft.com/office/drawing/2014/chart" uri="{C3380CC4-5D6E-409C-BE32-E72D297353CC}">
              <c16:uniqueId val="{00000001-763E-F14B-A441-024A5542E5AB}"/>
            </c:ext>
          </c:extLst>
        </c:ser>
        <c:ser>
          <c:idx val="2"/>
          <c:order val="2"/>
          <c:tx>
            <c:strRef>
              <c:f>'Bar Graphs_1'!$K$135</c:f>
              <c:strCache>
                <c:ptCount val="1"/>
                <c:pt idx="0">
                  <c:v>Set 1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Graphs_1'!$J$136:$J$138</c:f>
              <c:numCache>
                <c:formatCode>General</c:formatCode>
                <c:ptCount val="3"/>
                <c:pt idx="0">
                  <c:v>2.0019999999999998</c:v>
                </c:pt>
                <c:pt idx="1">
                  <c:v>2.0019999999999998</c:v>
                </c:pt>
                <c:pt idx="2">
                  <c:v>2.0019999999999998</c:v>
                </c:pt>
              </c:numCache>
            </c:numRef>
          </c:xVal>
          <c:yVal>
            <c:numRef>
              <c:f>'Bar Graphs_1'!$K$136:$K$138</c:f>
              <c:numCache>
                <c:formatCode>General</c:formatCode>
                <c:ptCount val="3"/>
                <c:pt idx="0">
                  <c:v>0.13073718193499692</c:v>
                </c:pt>
                <c:pt idx="1">
                  <c:v>0.12537895240865263</c:v>
                </c:pt>
                <c:pt idx="2">
                  <c:v>5.9698232560464519E-2</c:v>
                </c:pt>
              </c:numCache>
            </c:numRef>
          </c:yVal>
          <c:smooth val="0"/>
          <c:extLst>
            <c:ext xmlns:c16="http://schemas.microsoft.com/office/drawing/2014/chart" uri="{C3380CC4-5D6E-409C-BE32-E72D297353CC}">
              <c16:uniqueId val="{00000002-763E-F14B-A441-024A5542E5AB}"/>
            </c:ext>
          </c:extLst>
        </c:ser>
        <c:ser>
          <c:idx val="3"/>
          <c:order val="3"/>
          <c:tx>
            <c:strRef>
              <c:f>'Bar Graphs_1'!$M$135</c:f>
              <c:strCache>
                <c:ptCount val="1"/>
                <c:pt idx="0">
                  <c:v>Set 2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Graphs_1'!$L$136:$L$138</c:f>
              <c:numCache>
                <c:formatCode>General</c:formatCode>
                <c:ptCount val="3"/>
                <c:pt idx="0">
                  <c:v>3.0019999999999998</c:v>
                </c:pt>
                <c:pt idx="1">
                  <c:v>3.0019999999999998</c:v>
                </c:pt>
                <c:pt idx="2">
                  <c:v>3.0019999999999998</c:v>
                </c:pt>
              </c:numCache>
            </c:numRef>
          </c:xVal>
          <c:yVal>
            <c:numRef>
              <c:f>'Bar Graphs_1'!$M$136:$M$138</c:f>
              <c:numCache>
                <c:formatCode>General</c:formatCode>
                <c:ptCount val="3"/>
                <c:pt idx="0">
                  <c:v>0.27739609685027516</c:v>
                </c:pt>
                <c:pt idx="1">
                  <c:v>0.33283428878825</c:v>
                </c:pt>
                <c:pt idx="2">
                  <c:v>0.25252212251741291</c:v>
                </c:pt>
              </c:numCache>
            </c:numRef>
          </c:yVal>
          <c:smooth val="0"/>
          <c:extLst>
            <c:ext xmlns:c16="http://schemas.microsoft.com/office/drawing/2014/chart" uri="{C3380CC4-5D6E-409C-BE32-E72D297353CC}">
              <c16:uniqueId val="{00000003-763E-F14B-A441-024A5542E5AB}"/>
            </c:ext>
          </c:extLst>
        </c:ser>
        <c:ser>
          <c:idx val="4"/>
          <c:order val="4"/>
          <c:tx>
            <c:strRef>
              <c:f>'Bar Graphs_1'!$O$135</c:f>
              <c:strCache>
                <c:ptCount val="1"/>
                <c:pt idx="0">
                  <c:v>Set 4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Graphs_1'!$N$136:$N$138</c:f>
              <c:numCache>
                <c:formatCode>General</c:formatCode>
                <c:ptCount val="3"/>
                <c:pt idx="0">
                  <c:v>4.0019999999999998</c:v>
                </c:pt>
                <c:pt idx="1">
                  <c:v>4.0019999999999998</c:v>
                </c:pt>
                <c:pt idx="2">
                  <c:v>4.0019999999999998</c:v>
                </c:pt>
              </c:numCache>
            </c:numRef>
          </c:xVal>
          <c:yVal>
            <c:numRef>
              <c:f>'Bar Graphs_1'!$O$136:$O$138</c:f>
              <c:numCache>
                <c:formatCode>General</c:formatCode>
                <c:ptCount val="3"/>
                <c:pt idx="0">
                  <c:v>5.0831043712823501E-2</c:v>
                </c:pt>
                <c:pt idx="1">
                  <c:v>2.7780139338319788E-2</c:v>
                </c:pt>
                <c:pt idx="2">
                  <c:v>3.2949011439087919E-2</c:v>
                </c:pt>
              </c:numCache>
            </c:numRef>
          </c:yVal>
          <c:smooth val="0"/>
          <c:extLst>
            <c:ext xmlns:c16="http://schemas.microsoft.com/office/drawing/2014/chart" uri="{C3380CC4-5D6E-409C-BE32-E72D297353CC}">
              <c16:uniqueId val="{00000004-763E-F14B-A441-024A5542E5AB}"/>
            </c:ext>
          </c:extLst>
        </c:ser>
        <c:ser>
          <c:idx val="5"/>
          <c:order val="5"/>
          <c:tx>
            <c:strRef>
              <c:f>'Bar Graphs_1'!$Q$135</c:f>
              <c:strCache>
                <c:ptCount val="1"/>
                <c:pt idx="0">
                  <c:v>Set 5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Graphs_1'!$P$136:$P$138</c:f>
              <c:numCache>
                <c:formatCode>General</c:formatCode>
                <c:ptCount val="3"/>
                <c:pt idx="0">
                  <c:v>5.0019999999999998</c:v>
                </c:pt>
                <c:pt idx="1">
                  <c:v>5.0019999999999998</c:v>
                </c:pt>
                <c:pt idx="2">
                  <c:v>5.0019999999999998</c:v>
                </c:pt>
              </c:numCache>
            </c:numRef>
          </c:xVal>
          <c:yVal>
            <c:numRef>
              <c:f>'Bar Graphs_1'!$Q$136:$Q$138</c:f>
              <c:numCache>
                <c:formatCode>General</c:formatCode>
                <c:ptCount val="3"/>
                <c:pt idx="0">
                  <c:v>0.10646655967893662</c:v>
                </c:pt>
                <c:pt idx="1">
                  <c:v>2.6901889522691499E-2</c:v>
                </c:pt>
                <c:pt idx="2">
                  <c:v>2.6780611311067268E-2</c:v>
                </c:pt>
              </c:numCache>
            </c:numRef>
          </c:yVal>
          <c:smooth val="0"/>
          <c:extLst>
            <c:ext xmlns:c16="http://schemas.microsoft.com/office/drawing/2014/chart" uri="{C3380CC4-5D6E-409C-BE32-E72D297353CC}">
              <c16:uniqueId val="{00000005-763E-F14B-A441-024A5542E5AB}"/>
            </c:ext>
          </c:extLst>
        </c:ser>
        <c:ser>
          <c:idx val="6"/>
          <c:order val="6"/>
          <c:tx>
            <c:strRef>
              <c:f>'Bar Graphs_1'!$S$135</c:f>
              <c:strCache>
                <c:ptCount val="1"/>
                <c:pt idx="0">
                  <c:v>GFP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Graphs_1'!$R$136:$R$138</c:f>
              <c:numCache>
                <c:formatCode>General</c:formatCode>
                <c:ptCount val="3"/>
                <c:pt idx="0">
                  <c:v>6.0019999999999998</c:v>
                </c:pt>
                <c:pt idx="1">
                  <c:v>6.0019999999999998</c:v>
                </c:pt>
                <c:pt idx="2">
                  <c:v>6.0019999999999998</c:v>
                </c:pt>
              </c:numCache>
            </c:numRef>
          </c:xVal>
          <c:yVal>
            <c:numRef>
              <c:f>'Bar Graphs_1'!$S$136:$S$138</c:f>
              <c:numCache>
                <c:formatCode>General</c:formatCode>
                <c:ptCount val="3"/>
                <c:pt idx="0">
                  <c:v>2.0542703207127788</c:v>
                </c:pt>
                <c:pt idx="1">
                  <c:v>2.0530443855219693</c:v>
                </c:pt>
                <c:pt idx="2">
                  <c:v>2.1999258501230425</c:v>
                </c:pt>
              </c:numCache>
            </c:numRef>
          </c:yVal>
          <c:smooth val="0"/>
          <c:extLst>
            <c:ext xmlns:c16="http://schemas.microsoft.com/office/drawing/2014/chart" uri="{C3380CC4-5D6E-409C-BE32-E72D297353CC}">
              <c16:uniqueId val="{00000006-763E-F14B-A441-024A5542E5AB}"/>
            </c:ext>
          </c:extLst>
        </c:ser>
        <c:dLbls>
          <c:showLegendKey val="0"/>
          <c:showVal val="0"/>
          <c:showCatName val="0"/>
          <c:showSerName val="0"/>
          <c:showPercent val="0"/>
          <c:showBubbleSize val="0"/>
        </c:dLbls>
        <c:axId val="618561536"/>
        <c:axId val="548370880"/>
      </c:scatterChart>
      <c:catAx>
        <c:axId val="618561536"/>
        <c:scaling>
          <c:orientation val="minMax"/>
        </c:scaling>
        <c:delete val="0"/>
        <c:axPos val="b"/>
        <c:numFmt formatCode="General" sourceLinked="1"/>
        <c:majorTickMark val="none"/>
        <c:minorTickMark val="out"/>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48370880"/>
        <c:crosses val="autoZero"/>
        <c:auto val="1"/>
        <c:lblAlgn val="ctr"/>
        <c:lblOffset val="100"/>
        <c:noMultiLvlLbl val="0"/>
      </c:catAx>
      <c:valAx>
        <c:axId val="548370880"/>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1" u="none" strike="noStrike" kern="1200" baseline="0">
                    <a:solidFill>
                      <a:schemeClr val="tx1"/>
                    </a:solidFill>
                    <a:latin typeface="Times New Roman" panose="02020603050405020304" pitchFamily="18" charset="0"/>
                    <a:cs typeface="Times New Roman" panose="02020603050405020304" pitchFamily="18" charset="0"/>
                  </a:rPr>
                  <a:t>c-MET 2</a:t>
                </a:r>
                <a:r>
                  <a:rPr lang="en-US" sz="1000" b="1" i="1" u="none" strike="noStrike" kern="1200" baseline="30000">
                    <a:solidFill>
                      <a:schemeClr val="tx1"/>
                    </a:solidFill>
                    <a:latin typeface="Times New Roman" panose="02020603050405020304" pitchFamily="18" charset="0"/>
                    <a:cs typeface="Times New Roman" panose="02020603050405020304" pitchFamily="18" charset="0"/>
                  </a:rPr>
                  <a:t>-∆∆CT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1856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Gene 5 - Each Replicate Individually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'Bar Graphs_1'!$B$176:$B$178</c:f>
              <c:strCache>
                <c:ptCount val="3"/>
                <c:pt idx="0">
                  <c:v>WT 24h</c:v>
                </c:pt>
              </c:strCache>
            </c:strRef>
          </c:tx>
          <c:spPr>
            <a:solidFill>
              <a:srgbClr val="FFCA0A"/>
            </a:solidFill>
            <a:ln>
              <a:solidFill>
                <a:schemeClr val="tx1"/>
              </a:solidFill>
            </a:ln>
            <a:effectLst/>
          </c:spPr>
          <c:invertIfNegative val="0"/>
          <c:val>
            <c:numRef>
              <c:f>'Bar Graphs_1'!$D$176:$D$178</c:f>
              <c:numCache>
                <c:formatCode>General</c:formatCode>
                <c:ptCount val="3"/>
                <c:pt idx="0">
                  <c:v>0.87671095373194685</c:v>
                </c:pt>
                <c:pt idx="1">
                  <c:v>1.1804250910127834</c:v>
                </c:pt>
                <c:pt idx="2">
                  <c:v>0.96628477117497291</c:v>
                </c:pt>
              </c:numCache>
            </c:numRef>
          </c:val>
          <c:extLst>
            <c:ext xmlns:c16="http://schemas.microsoft.com/office/drawing/2014/chart" uri="{C3380CC4-5D6E-409C-BE32-E72D297353CC}">
              <c16:uniqueId val="{00000000-C206-0341-8B7C-7E1BE19C5299}"/>
            </c:ext>
          </c:extLst>
        </c:ser>
        <c:ser>
          <c:idx val="1"/>
          <c:order val="1"/>
          <c:tx>
            <c:strRef>
              <c:f>'Bar Graphs_1'!$B$179:$B$181</c:f>
              <c:strCache>
                <c:ptCount val="3"/>
                <c:pt idx="0">
                  <c:v>Set 1 24h</c:v>
                </c:pt>
              </c:strCache>
            </c:strRef>
          </c:tx>
          <c:spPr>
            <a:pattFill prst="wdUpDiag">
              <a:fgClr>
                <a:srgbClr val="FFCA0A"/>
              </a:fgClr>
              <a:bgClr>
                <a:schemeClr val="bg1"/>
              </a:bgClr>
            </a:pattFill>
            <a:ln>
              <a:solidFill>
                <a:schemeClr val="tx1"/>
              </a:solidFill>
            </a:ln>
            <a:effectLst/>
          </c:spPr>
          <c:invertIfNegative val="0"/>
          <c:val>
            <c:numRef>
              <c:f>'Bar Graphs_1'!$D$179:$D$181</c:f>
              <c:numCache>
                <c:formatCode>General</c:formatCode>
                <c:ptCount val="3"/>
                <c:pt idx="0">
                  <c:v>0.22329540952965868</c:v>
                </c:pt>
                <c:pt idx="1">
                  <c:v>0.33749798804287862</c:v>
                </c:pt>
                <c:pt idx="2">
                  <c:v>0.17976462382717531</c:v>
                </c:pt>
              </c:numCache>
            </c:numRef>
          </c:val>
          <c:extLst>
            <c:ext xmlns:c16="http://schemas.microsoft.com/office/drawing/2014/chart" uri="{C3380CC4-5D6E-409C-BE32-E72D297353CC}">
              <c16:uniqueId val="{00000001-C206-0341-8B7C-7E1BE19C5299}"/>
            </c:ext>
          </c:extLst>
        </c:ser>
        <c:ser>
          <c:idx val="2"/>
          <c:order val="2"/>
          <c:tx>
            <c:strRef>
              <c:f>'Bar Graphs_1'!$B$182:$B$184</c:f>
              <c:strCache>
                <c:ptCount val="3"/>
                <c:pt idx="0">
                  <c:v>Set 2 24h</c:v>
                </c:pt>
              </c:strCache>
            </c:strRef>
          </c:tx>
          <c:spPr>
            <a:solidFill>
              <a:srgbClr val="FAE37B"/>
            </a:solidFill>
            <a:ln>
              <a:solidFill>
                <a:schemeClr val="tx1"/>
              </a:solidFill>
            </a:ln>
            <a:effectLst/>
          </c:spPr>
          <c:invertIfNegative val="0"/>
          <c:val>
            <c:numRef>
              <c:f>'Bar Graphs_1'!$D$182:$D$184</c:f>
              <c:numCache>
                <c:formatCode>General</c:formatCode>
                <c:ptCount val="3"/>
                <c:pt idx="0">
                  <c:v>0.50860096620486972</c:v>
                </c:pt>
                <c:pt idx="1">
                  <c:v>0.74603541470613477</c:v>
                </c:pt>
                <c:pt idx="2">
                  <c:v>0.56076160680058895</c:v>
                </c:pt>
              </c:numCache>
            </c:numRef>
          </c:val>
          <c:extLst>
            <c:ext xmlns:c16="http://schemas.microsoft.com/office/drawing/2014/chart" uri="{C3380CC4-5D6E-409C-BE32-E72D297353CC}">
              <c16:uniqueId val="{00000002-C206-0341-8B7C-7E1BE19C5299}"/>
            </c:ext>
          </c:extLst>
        </c:ser>
        <c:ser>
          <c:idx val="3"/>
          <c:order val="3"/>
          <c:tx>
            <c:strRef>
              <c:f>'Bar Graphs_1'!$B$185:$B$187</c:f>
              <c:strCache>
                <c:ptCount val="3"/>
                <c:pt idx="0">
                  <c:v>Set 4 24h</c:v>
                </c:pt>
              </c:strCache>
            </c:strRef>
          </c:tx>
          <c:spPr>
            <a:solidFill>
              <a:schemeClr val="bg1"/>
            </a:solidFill>
            <a:ln>
              <a:solidFill>
                <a:schemeClr val="tx1"/>
              </a:solidFill>
            </a:ln>
            <a:effectLst/>
          </c:spPr>
          <c:invertIfNegative val="0"/>
          <c:val>
            <c:numRef>
              <c:f>'Bar Graphs_1'!$D$185:$D$187</c:f>
              <c:numCache>
                <c:formatCode>General</c:formatCode>
                <c:ptCount val="3"/>
                <c:pt idx="0">
                  <c:v>0.43754655190818187</c:v>
                </c:pt>
                <c:pt idx="1">
                  <c:v>0.27684799082223627</c:v>
                </c:pt>
                <c:pt idx="2">
                  <c:v>0.2168423256826503</c:v>
                </c:pt>
              </c:numCache>
            </c:numRef>
          </c:val>
          <c:extLst>
            <c:ext xmlns:c16="http://schemas.microsoft.com/office/drawing/2014/chart" uri="{C3380CC4-5D6E-409C-BE32-E72D297353CC}">
              <c16:uniqueId val="{00000003-C206-0341-8B7C-7E1BE19C5299}"/>
            </c:ext>
          </c:extLst>
        </c:ser>
        <c:ser>
          <c:idx val="4"/>
          <c:order val="4"/>
          <c:tx>
            <c:strRef>
              <c:f>'Bar Graphs_1'!$B$188:$B$190</c:f>
              <c:strCache>
                <c:ptCount val="3"/>
                <c:pt idx="0">
                  <c:v>Set 5 24h</c:v>
                </c:pt>
              </c:strCache>
            </c:strRef>
          </c:tx>
          <c:spPr>
            <a:pattFill prst="pct40">
              <a:fgClr>
                <a:srgbClr val="FAE37B"/>
              </a:fgClr>
              <a:bgClr>
                <a:schemeClr val="bg1"/>
              </a:bgClr>
            </a:pattFill>
            <a:ln>
              <a:solidFill>
                <a:schemeClr val="tx1"/>
              </a:solidFill>
            </a:ln>
            <a:effectLst/>
          </c:spPr>
          <c:invertIfNegative val="0"/>
          <c:val>
            <c:numRef>
              <c:f>'Bar Graphs_1'!$D$188:$D$190</c:f>
              <c:numCache>
                <c:formatCode>General</c:formatCode>
                <c:ptCount val="3"/>
                <c:pt idx="0">
                  <c:v>0.4345871292635648</c:v>
                </c:pt>
                <c:pt idx="1">
                  <c:v>0.20092930208914486</c:v>
                </c:pt>
                <c:pt idx="2">
                  <c:v>0.26763346916825126</c:v>
                </c:pt>
              </c:numCache>
            </c:numRef>
          </c:val>
          <c:extLst>
            <c:ext xmlns:c16="http://schemas.microsoft.com/office/drawing/2014/chart" uri="{C3380CC4-5D6E-409C-BE32-E72D297353CC}">
              <c16:uniqueId val="{00000004-C206-0341-8B7C-7E1BE19C5299}"/>
            </c:ext>
          </c:extLst>
        </c:ser>
        <c:ser>
          <c:idx val="5"/>
          <c:order val="5"/>
          <c:tx>
            <c:strRef>
              <c:f>'Bar Graphs_1'!$B$191:$B$193</c:f>
              <c:strCache>
                <c:ptCount val="3"/>
                <c:pt idx="0">
                  <c:v>GFP 24h</c:v>
                </c:pt>
              </c:strCache>
            </c:strRef>
          </c:tx>
          <c:spPr>
            <a:pattFill prst="wdUpDiag">
              <a:fgClr>
                <a:schemeClr val="bg1"/>
              </a:fgClr>
              <a:bgClr>
                <a:srgbClr val="FFC000"/>
              </a:bgClr>
            </a:pattFill>
            <a:ln>
              <a:solidFill>
                <a:schemeClr val="tx1"/>
              </a:solidFill>
            </a:ln>
            <a:effectLst/>
          </c:spPr>
          <c:invertIfNegative val="0"/>
          <c:val>
            <c:numRef>
              <c:f>'Bar Graphs_1'!$D$191:$D$193</c:f>
              <c:numCache>
                <c:formatCode>General</c:formatCode>
                <c:ptCount val="3"/>
                <c:pt idx="0">
                  <c:v>2.0745043761510771</c:v>
                </c:pt>
                <c:pt idx="1">
                  <c:v>2.1159020414820411</c:v>
                </c:pt>
                <c:pt idx="2">
                  <c:v>1.8726527946682321</c:v>
                </c:pt>
              </c:numCache>
            </c:numRef>
          </c:val>
          <c:extLst>
            <c:ext xmlns:c16="http://schemas.microsoft.com/office/drawing/2014/chart" uri="{C3380CC4-5D6E-409C-BE32-E72D297353CC}">
              <c16:uniqueId val="{00000005-C206-0341-8B7C-7E1BE19C5299}"/>
            </c:ext>
          </c:extLst>
        </c:ser>
        <c:dLbls>
          <c:showLegendKey val="0"/>
          <c:showVal val="0"/>
          <c:showCatName val="0"/>
          <c:showSerName val="0"/>
          <c:showPercent val="0"/>
          <c:showBubbleSize val="0"/>
        </c:dLbls>
        <c:gapWidth val="219"/>
        <c:overlap val="-27"/>
        <c:axId val="682610624"/>
        <c:axId val="682617792"/>
      </c:barChart>
      <c:catAx>
        <c:axId val="68261062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50" b="0">
                    <a:solidFill>
                      <a:schemeClr val="tx1"/>
                    </a:solidFill>
                    <a:latin typeface="Times New Roman" panose="02020603050405020304" pitchFamily="18" charset="0"/>
                    <a:cs typeface="Times New Roman" panose="02020603050405020304" pitchFamily="18" charset="0"/>
                  </a:rPr>
                  <a:t>Discriminating</a:t>
                </a:r>
                <a:r>
                  <a:rPr lang="en-US" sz="1050" b="0" baseline="0">
                    <a:solidFill>
                      <a:schemeClr val="tx1"/>
                    </a:solidFill>
                    <a:latin typeface="Times New Roman" panose="02020603050405020304" pitchFamily="18" charset="0"/>
                    <a:cs typeface="Times New Roman" panose="02020603050405020304" pitchFamily="18" charset="0"/>
                  </a:rPr>
                  <a:t> Factor (ex. Timepoint etc)</a:t>
                </a:r>
                <a:endParaRPr lang="en-US" sz="1050" b="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majorTickMark val="none"/>
        <c:minorTickMark val="out"/>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82617792"/>
        <c:crosses val="autoZero"/>
        <c:auto val="1"/>
        <c:lblAlgn val="ctr"/>
        <c:lblOffset val="100"/>
        <c:noMultiLvlLbl val="0"/>
      </c:catAx>
      <c:valAx>
        <c:axId val="682617792"/>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50" b="1" i="1">
                    <a:solidFill>
                      <a:schemeClr val="tx1"/>
                    </a:solidFill>
                    <a:latin typeface="Times New Roman" panose="02020603050405020304" pitchFamily="18" charset="0"/>
                    <a:cs typeface="Times New Roman" panose="02020603050405020304" pitchFamily="18" charset="0"/>
                  </a:rPr>
                  <a:t>c-MET</a:t>
                </a:r>
                <a:r>
                  <a:rPr lang="en-US" sz="1050" b="1" i="1" baseline="0">
                    <a:solidFill>
                      <a:schemeClr val="tx1"/>
                    </a:solidFill>
                    <a:latin typeface="Times New Roman" panose="02020603050405020304" pitchFamily="18" charset="0"/>
                    <a:cs typeface="Times New Roman" panose="02020603050405020304" pitchFamily="18" charset="0"/>
                  </a:rPr>
                  <a:t> 2</a:t>
                </a:r>
                <a:r>
                  <a:rPr lang="en-US" sz="1050" b="1" i="1" baseline="30000">
                    <a:solidFill>
                      <a:schemeClr val="tx1"/>
                    </a:solidFill>
                    <a:latin typeface="Times New Roman" panose="02020603050405020304" pitchFamily="18" charset="0"/>
                    <a:cs typeface="Times New Roman" panose="02020603050405020304" pitchFamily="18" charset="0"/>
                  </a:rPr>
                  <a:t>-∆∆CT</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8261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Gene 5</a:t>
            </a:r>
            <a:r>
              <a:rPr lang="en-US" b="1" baseline="0">
                <a:solidFill>
                  <a:schemeClr val="tx1"/>
                </a:solidFill>
                <a:latin typeface="Times New Roman" panose="02020603050405020304" pitchFamily="18" charset="0"/>
                <a:cs typeface="Times New Roman" panose="02020603050405020304" pitchFamily="18" charset="0"/>
              </a:rPr>
              <a:t> - Averages, SD, Individual points</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rgbClr val="FFCA0A"/>
            </a:solidFill>
            <a:ln>
              <a:solidFill>
                <a:schemeClr val="tx1"/>
              </a:solidFill>
            </a:ln>
            <a:effectLst/>
          </c:spPr>
          <c:invertIfNegative val="0"/>
          <c:errBars>
            <c:errBarType val="both"/>
            <c:errValType val="cust"/>
            <c:noEndCap val="0"/>
            <c:plus>
              <c:numRef>
                <c:f>'Bar Graphs_1'!$I$182:$N$182</c:f>
                <c:numCache>
                  <c:formatCode>General</c:formatCode>
                  <c:ptCount val="6"/>
                  <c:pt idx="0">
                    <c:v>0.15605651889395658</c:v>
                  </c:pt>
                  <c:pt idx="1">
                    <c:v>8.1462642184160522E-2</c:v>
                  </c:pt>
                  <c:pt idx="2">
                    <c:v>0.12478129778287836</c:v>
                  </c:pt>
                  <c:pt idx="3">
                    <c:v>0.11411621478252502</c:v>
                  </c:pt>
                  <c:pt idx="4">
                    <c:v>0.12035984291892513</c:v>
                  </c:pt>
                  <c:pt idx="5">
                    <c:v>0.13014608696734187</c:v>
                  </c:pt>
                </c:numCache>
              </c:numRef>
            </c:plus>
            <c:minus>
              <c:numRef>
                <c:f>'Bar Graphs_1'!$I$182:$N$182</c:f>
                <c:numCache>
                  <c:formatCode>General</c:formatCode>
                  <c:ptCount val="6"/>
                  <c:pt idx="0">
                    <c:v>0.15605651889395658</c:v>
                  </c:pt>
                  <c:pt idx="1">
                    <c:v>8.1462642184160522E-2</c:v>
                  </c:pt>
                  <c:pt idx="2">
                    <c:v>0.12478129778287836</c:v>
                  </c:pt>
                  <c:pt idx="3">
                    <c:v>0.11411621478252502</c:v>
                  </c:pt>
                  <c:pt idx="4">
                    <c:v>0.12035984291892513</c:v>
                  </c:pt>
                  <c:pt idx="5">
                    <c:v>0.13014608696734187</c:v>
                  </c:pt>
                </c:numCache>
              </c:numRef>
            </c:minus>
            <c:spPr>
              <a:noFill/>
              <a:ln w="9525" cap="flat" cmpd="sng" algn="ctr">
                <a:solidFill>
                  <a:schemeClr val="tx1"/>
                </a:solidFill>
                <a:round/>
              </a:ln>
              <a:effectLst/>
            </c:spPr>
          </c:errBars>
          <c:cat>
            <c:strRef>
              <c:f>'Bar Graphs_1'!$I$180:$N$180</c:f>
              <c:strCache>
                <c:ptCount val="6"/>
                <c:pt idx="0">
                  <c:v>WT 24h</c:v>
                </c:pt>
                <c:pt idx="1">
                  <c:v>Set 1 24h</c:v>
                </c:pt>
                <c:pt idx="2">
                  <c:v>Set 2 24h</c:v>
                </c:pt>
                <c:pt idx="3">
                  <c:v>Set 4 24h</c:v>
                </c:pt>
                <c:pt idx="4">
                  <c:v>Set 5 24h</c:v>
                </c:pt>
                <c:pt idx="5">
                  <c:v>GFP 24h</c:v>
                </c:pt>
              </c:strCache>
            </c:strRef>
          </c:cat>
          <c:val>
            <c:numRef>
              <c:f>'Bar Graphs_1'!$I$181:$N$181</c:f>
              <c:numCache>
                <c:formatCode>General</c:formatCode>
                <c:ptCount val="6"/>
                <c:pt idx="0">
                  <c:v>1.0078069386399011</c:v>
                </c:pt>
                <c:pt idx="1">
                  <c:v>0.24685267379990419</c:v>
                </c:pt>
                <c:pt idx="2">
                  <c:v>0.60513266257053122</c:v>
                </c:pt>
                <c:pt idx="3">
                  <c:v>0.31041228947102278</c:v>
                </c:pt>
                <c:pt idx="4">
                  <c:v>0.30104996684032032</c:v>
                </c:pt>
                <c:pt idx="5">
                  <c:v>2.0210197374337837</c:v>
                </c:pt>
              </c:numCache>
            </c:numRef>
          </c:val>
          <c:extLst>
            <c:ext xmlns:c16="http://schemas.microsoft.com/office/drawing/2014/chart" uri="{C3380CC4-5D6E-409C-BE32-E72D297353CC}">
              <c16:uniqueId val="{00000000-1174-BE4A-8E83-071174337F49}"/>
            </c:ext>
          </c:extLst>
        </c:ser>
        <c:dLbls>
          <c:showLegendKey val="0"/>
          <c:showVal val="0"/>
          <c:showCatName val="0"/>
          <c:showSerName val="0"/>
          <c:showPercent val="0"/>
          <c:showBubbleSize val="0"/>
        </c:dLbls>
        <c:gapWidth val="78"/>
        <c:overlap val="-57"/>
        <c:axId val="618561536"/>
        <c:axId val="548370880"/>
      </c:barChart>
      <c:scatterChart>
        <c:scatterStyle val="lineMarker"/>
        <c:varyColors val="0"/>
        <c:ser>
          <c:idx val="1"/>
          <c:order val="1"/>
          <c:tx>
            <c:strRef>
              <c:f>'Bar Graphs_1'!$I$175</c:f>
              <c:strCache>
                <c:ptCount val="1"/>
                <c:pt idx="0">
                  <c:v>WT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cust"/>
            <c:noEndCap val="0"/>
            <c:plus>
              <c:numRef>
                <c:f>'Bar Graphs_1'!$I$182:$N$182</c:f>
                <c:numCache>
                  <c:formatCode>General</c:formatCode>
                  <c:ptCount val="6"/>
                  <c:pt idx="0">
                    <c:v>0.15605651889395658</c:v>
                  </c:pt>
                  <c:pt idx="1">
                    <c:v>8.1462642184160522E-2</c:v>
                  </c:pt>
                  <c:pt idx="2">
                    <c:v>0.12478129778287836</c:v>
                  </c:pt>
                  <c:pt idx="3">
                    <c:v>0.11411621478252502</c:v>
                  </c:pt>
                  <c:pt idx="4">
                    <c:v>0.12035984291892513</c:v>
                  </c:pt>
                  <c:pt idx="5">
                    <c:v>0.13014608696734187</c:v>
                  </c:pt>
                </c:numCache>
              </c:numRef>
            </c:plus>
            <c:minus>
              <c:numRef>
                <c:f>'Bar Graphs_1'!$I$182:$N$182</c:f>
                <c:numCache>
                  <c:formatCode>General</c:formatCode>
                  <c:ptCount val="6"/>
                  <c:pt idx="0">
                    <c:v>0.15605651889395658</c:v>
                  </c:pt>
                  <c:pt idx="1">
                    <c:v>8.1462642184160522E-2</c:v>
                  </c:pt>
                  <c:pt idx="2">
                    <c:v>0.12478129778287836</c:v>
                  </c:pt>
                  <c:pt idx="3">
                    <c:v>0.11411621478252502</c:v>
                  </c:pt>
                  <c:pt idx="4">
                    <c:v>0.12035984291892513</c:v>
                  </c:pt>
                  <c:pt idx="5">
                    <c:v>0.13014608696734187</c:v>
                  </c:pt>
                </c:numCache>
              </c:numRef>
            </c:minus>
            <c:spPr>
              <a:noFill/>
              <a:ln w="9525" cap="flat" cmpd="sng" algn="ctr">
                <a:solidFill>
                  <a:schemeClr val="tx1"/>
                </a:solidFill>
                <a:round/>
              </a:ln>
              <a:effectLst/>
            </c:spPr>
          </c:errBars>
          <c:xVal>
            <c:numRef>
              <c:f>'Bar Graphs_1'!$H$176:$H$178</c:f>
              <c:numCache>
                <c:formatCode>General</c:formatCode>
                <c:ptCount val="3"/>
                <c:pt idx="0">
                  <c:v>1.002</c:v>
                </c:pt>
                <c:pt idx="1">
                  <c:v>1.002</c:v>
                </c:pt>
                <c:pt idx="2">
                  <c:v>1.002</c:v>
                </c:pt>
              </c:numCache>
            </c:numRef>
          </c:xVal>
          <c:yVal>
            <c:numRef>
              <c:f>'Bar Graphs_1'!$I$176:$I$178</c:f>
              <c:numCache>
                <c:formatCode>General</c:formatCode>
                <c:ptCount val="3"/>
                <c:pt idx="0">
                  <c:v>0.87671095373194685</c:v>
                </c:pt>
                <c:pt idx="1">
                  <c:v>1.1804250910127834</c:v>
                </c:pt>
                <c:pt idx="2">
                  <c:v>0.96628477117497291</c:v>
                </c:pt>
              </c:numCache>
            </c:numRef>
          </c:yVal>
          <c:smooth val="0"/>
          <c:extLst>
            <c:ext xmlns:c16="http://schemas.microsoft.com/office/drawing/2014/chart" uri="{C3380CC4-5D6E-409C-BE32-E72D297353CC}">
              <c16:uniqueId val="{00000001-1174-BE4A-8E83-071174337F49}"/>
            </c:ext>
          </c:extLst>
        </c:ser>
        <c:ser>
          <c:idx val="2"/>
          <c:order val="2"/>
          <c:tx>
            <c:strRef>
              <c:f>'Bar Graphs_1'!$K$175</c:f>
              <c:strCache>
                <c:ptCount val="1"/>
                <c:pt idx="0">
                  <c:v>Set 1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Graphs_1'!$J$176:$J$178</c:f>
              <c:numCache>
                <c:formatCode>General</c:formatCode>
                <c:ptCount val="3"/>
                <c:pt idx="0">
                  <c:v>2.0019999999999998</c:v>
                </c:pt>
                <c:pt idx="1">
                  <c:v>2.0019999999999998</c:v>
                </c:pt>
                <c:pt idx="2">
                  <c:v>2.0019999999999998</c:v>
                </c:pt>
              </c:numCache>
            </c:numRef>
          </c:xVal>
          <c:yVal>
            <c:numRef>
              <c:f>'Bar Graphs_1'!$K$176:$K$178</c:f>
              <c:numCache>
                <c:formatCode>General</c:formatCode>
                <c:ptCount val="3"/>
                <c:pt idx="0">
                  <c:v>0.22329540952965868</c:v>
                </c:pt>
                <c:pt idx="1">
                  <c:v>0.33749798804287862</c:v>
                </c:pt>
                <c:pt idx="2">
                  <c:v>0.17976462382717531</c:v>
                </c:pt>
              </c:numCache>
            </c:numRef>
          </c:yVal>
          <c:smooth val="0"/>
          <c:extLst>
            <c:ext xmlns:c16="http://schemas.microsoft.com/office/drawing/2014/chart" uri="{C3380CC4-5D6E-409C-BE32-E72D297353CC}">
              <c16:uniqueId val="{00000002-1174-BE4A-8E83-071174337F49}"/>
            </c:ext>
          </c:extLst>
        </c:ser>
        <c:ser>
          <c:idx val="3"/>
          <c:order val="3"/>
          <c:tx>
            <c:strRef>
              <c:f>'Bar Graphs_1'!$M$175</c:f>
              <c:strCache>
                <c:ptCount val="1"/>
                <c:pt idx="0">
                  <c:v>Set 2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Graphs_1'!$L$176:$L$178</c:f>
              <c:numCache>
                <c:formatCode>General</c:formatCode>
                <c:ptCount val="3"/>
                <c:pt idx="0">
                  <c:v>3.0019999999999998</c:v>
                </c:pt>
                <c:pt idx="1">
                  <c:v>3.0019999999999998</c:v>
                </c:pt>
                <c:pt idx="2">
                  <c:v>3.0019999999999998</c:v>
                </c:pt>
              </c:numCache>
            </c:numRef>
          </c:xVal>
          <c:yVal>
            <c:numRef>
              <c:f>'Bar Graphs_1'!$M$176:$M$178</c:f>
              <c:numCache>
                <c:formatCode>General</c:formatCode>
                <c:ptCount val="3"/>
                <c:pt idx="0">
                  <c:v>0.50860096620486972</c:v>
                </c:pt>
                <c:pt idx="1">
                  <c:v>0.74603541470613477</c:v>
                </c:pt>
                <c:pt idx="2">
                  <c:v>0.56076160680058895</c:v>
                </c:pt>
              </c:numCache>
            </c:numRef>
          </c:yVal>
          <c:smooth val="0"/>
          <c:extLst>
            <c:ext xmlns:c16="http://schemas.microsoft.com/office/drawing/2014/chart" uri="{C3380CC4-5D6E-409C-BE32-E72D297353CC}">
              <c16:uniqueId val="{00000003-1174-BE4A-8E83-071174337F49}"/>
            </c:ext>
          </c:extLst>
        </c:ser>
        <c:ser>
          <c:idx val="4"/>
          <c:order val="4"/>
          <c:tx>
            <c:strRef>
              <c:f>'Bar Graphs_1'!$O$175</c:f>
              <c:strCache>
                <c:ptCount val="1"/>
                <c:pt idx="0">
                  <c:v>Set 4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Graphs_1'!$N$176:$N$178</c:f>
              <c:numCache>
                <c:formatCode>General</c:formatCode>
                <c:ptCount val="3"/>
                <c:pt idx="0">
                  <c:v>4.0019999999999998</c:v>
                </c:pt>
                <c:pt idx="1">
                  <c:v>4.0019999999999998</c:v>
                </c:pt>
                <c:pt idx="2">
                  <c:v>4.0019999999999998</c:v>
                </c:pt>
              </c:numCache>
            </c:numRef>
          </c:xVal>
          <c:yVal>
            <c:numRef>
              <c:f>'Bar Graphs_1'!$O$176:$O$178</c:f>
              <c:numCache>
                <c:formatCode>General</c:formatCode>
                <c:ptCount val="3"/>
                <c:pt idx="0">
                  <c:v>0.43754655190818187</c:v>
                </c:pt>
                <c:pt idx="1">
                  <c:v>0.27684799082223627</c:v>
                </c:pt>
                <c:pt idx="2">
                  <c:v>0.2168423256826503</c:v>
                </c:pt>
              </c:numCache>
            </c:numRef>
          </c:yVal>
          <c:smooth val="0"/>
          <c:extLst>
            <c:ext xmlns:c16="http://schemas.microsoft.com/office/drawing/2014/chart" uri="{C3380CC4-5D6E-409C-BE32-E72D297353CC}">
              <c16:uniqueId val="{00000004-1174-BE4A-8E83-071174337F49}"/>
            </c:ext>
          </c:extLst>
        </c:ser>
        <c:ser>
          <c:idx val="5"/>
          <c:order val="5"/>
          <c:tx>
            <c:strRef>
              <c:f>'Bar Graphs_1'!$Q$175</c:f>
              <c:strCache>
                <c:ptCount val="1"/>
                <c:pt idx="0">
                  <c:v>Set 5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Graphs_1'!$P$176:$P$178</c:f>
              <c:numCache>
                <c:formatCode>General</c:formatCode>
                <c:ptCount val="3"/>
                <c:pt idx="0">
                  <c:v>5.0019999999999998</c:v>
                </c:pt>
                <c:pt idx="1">
                  <c:v>5.0019999999999998</c:v>
                </c:pt>
                <c:pt idx="2">
                  <c:v>5.0019999999999998</c:v>
                </c:pt>
              </c:numCache>
            </c:numRef>
          </c:xVal>
          <c:yVal>
            <c:numRef>
              <c:f>'Bar Graphs_1'!$Q$176:$Q$178</c:f>
              <c:numCache>
                <c:formatCode>General</c:formatCode>
                <c:ptCount val="3"/>
                <c:pt idx="0">
                  <c:v>0.4345871292635648</c:v>
                </c:pt>
                <c:pt idx="1">
                  <c:v>0.20092930208914486</c:v>
                </c:pt>
                <c:pt idx="2">
                  <c:v>0.26763346916825126</c:v>
                </c:pt>
              </c:numCache>
            </c:numRef>
          </c:yVal>
          <c:smooth val="0"/>
          <c:extLst>
            <c:ext xmlns:c16="http://schemas.microsoft.com/office/drawing/2014/chart" uri="{C3380CC4-5D6E-409C-BE32-E72D297353CC}">
              <c16:uniqueId val="{00000005-1174-BE4A-8E83-071174337F49}"/>
            </c:ext>
          </c:extLst>
        </c:ser>
        <c:ser>
          <c:idx val="6"/>
          <c:order val="6"/>
          <c:tx>
            <c:strRef>
              <c:f>'Bar Graphs_1'!$S$175</c:f>
              <c:strCache>
                <c:ptCount val="1"/>
                <c:pt idx="0">
                  <c:v>GFP 24h</c:v>
                </c:pt>
              </c:strCache>
            </c:strRef>
          </c:tx>
          <c:spPr>
            <a:ln w="25400" cap="rnd">
              <a:noFill/>
              <a:round/>
            </a:ln>
            <a:effectLst/>
          </c:spPr>
          <c:marker>
            <c:symbol val="circle"/>
            <c:size val="3"/>
            <c:spPr>
              <a:solidFill>
                <a:schemeClr val="bg1"/>
              </a:solidFill>
              <a:ln w="9525">
                <a:solidFill>
                  <a:schemeClr val="tx1"/>
                </a:solidFill>
              </a:ln>
              <a:effectLst/>
            </c:spPr>
          </c:marker>
          <c:errBars>
            <c:errDir val="x"/>
            <c:errBarType val="both"/>
            <c:errValType val="stdDev"/>
            <c:noEndCap val="0"/>
            <c:val val="1"/>
            <c:spPr>
              <a:noFill/>
              <a:ln w="9525" cap="flat" cmpd="sng" algn="ctr">
                <a:solidFill>
                  <a:schemeClr val="tx1">
                    <a:lumMod val="65000"/>
                    <a:lumOff val="35000"/>
                  </a:schemeClr>
                </a:solidFill>
                <a:round/>
              </a:ln>
              <a:effectLst/>
            </c:spPr>
          </c:errBars>
          <c:errBars>
            <c:errDir val="y"/>
            <c:errBarType val="both"/>
            <c:errValType val="stdDev"/>
            <c:noEndCap val="0"/>
            <c:val val="1"/>
            <c:spPr>
              <a:noFill/>
              <a:ln w="9525" cap="flat" cmpd="sng" algn="ctr">
                <a:solidFill>
                  <a:schemeClr val="tx1">
                    <a:lumMod val="65000"/>
                    <a:lumOff val="35000"/>
                  </a:schemeClr>
                </a:solidFill>
                <a:round/>
              </a:ln>
              <a:effectLst/>
            </c:spPr>
          </c:errBars>
          <c:xVal>
            <c:numRef>
              <c:f>'Bar Graphs_1'!$R$176:$R$178</c:f>
              <c:numCache>
                <c:formatCode>General</c:formatCode>
                <c:ptCount val="3"/>
                <c:pt idx="0">
                  <c:v>6.0019999999999998</c:v>
                </c:pt>
                <c:pt idx="1">
                  <c:v>6.0019999999999998</c:v>
                </c:pt>
                <c:pt idx="2">
                  <c:v>6.0019999999999998</c:v>
                </c:pt>
              </c:numCache>
            </c:numRef>
          </c:xVal>
          <c:yVal>
            <c:numRef>
              <c:f>'Bar Graphs_1'!$S$176:$S$178</c:f>
              <c:numCache>
                <c:formatCode>General</c:formatCode>
                <c:ptCount val="3"/>
                <c:pt idx="0">
                  <c:v>2.0745043761510771</c:v>
                </c:pt>
                <c:pt idx="1">
                  <c:v>2.1159020414820411</c:v>
                </c:pt>
                <c:pt idx="2">
                  <c:v>1.8726527946682321</c:v>
                </c:pt>
              </c:numCache>
            </c:numRef>
          </c:yVal>
          <c:smooth val="0"/>
          <c:extLst>
            <c:ext xmlns:c16="http://schemas.microsoft.com/office/drawing/2014/chart" uri="{C3380CC4-5D6E-409C-BE32-E72D297353CC}">
              <c16:uniqueId val="{00000006-1174-BE4A-8E83-071174337F49}"/>
            </c:ext>
          </c:extLst>
        </c:ser>
        <c:dLbls>
          <c:showLegendKey val="0"/>
          <c:showVal val="0"/>
          <c:showCatName val="0"/>
          <c:showSerName val="0"/>
          <c:showPercent val="0"/>
          <c:showBubbleSize val="0"/>
        </c:dLbls>
        <c:axId val="618561536"/>
        <c:axId val="548370880"/>
      </c:scatterChart>
      <c:catAx>
        <c:axId val="618561536"/>
        <c:scaling>
          <c:orientation val="minMax"/>
        </c:scaling>
        <c:delete val="0"/>
        <c:axPos val="b"/>
        <c:numFmt formatCode="General" sourceLinked="1"/>
        <c:majorTickMark val="none"/>
        <c:minorTickMark val="out"/>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48370880"/>
        <c:crosses val="autoZero"/>
        <c:auto val="1"/>
        <c:lblAlgn val="ctr"/>
        <c:lblOffset val="100"/>
        <c:noMultiLvlLbl val="0"/>
      </c:catAx>
      <c:valAx>
        <c:axId val="548370880"/>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1" u="none" strike="noStrike" kern="1200" baseline="0">
                    <a:solidFill>
                      <a:schemeClr val="tx1"/>
                    </a:solidFill>
                    <a:latin typeface="Times New Roman" panose="02020603050405020304" pitchFamily="18" charset="0"/>
                    <a:cs typeface="Times New Roman" panose="02020603050405020304" pitchFamily="18" charset="0"/>
                  </a:rPr>
                  <a:t>c-MET 2</a:t>
                </a:r>
                <a:r>
                  <a:rPr lang="en-US" sz="1000" b="1" i="1" u="none" strike="noStrike" kern="1200" baseline="30000">
                    <a:solidFill>
                      <a:schemeClr val="tx1"/>
                    </a:solidFill>
                    <a:latin typeface="Times New Roman" panose="02020603050405020304" pitchFamily="18" charset="0"/>
                    <a:cs typeface="Times New Roman" panose="02020603050405020304" pitchFamily="18" charset="0"/>
                  </a:rPr>
                  <a:t>-∆∆CT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1856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a:lstStyle/>
          <a:p>
            <a:pPr>
              <a:defRPr b="1">
                <a:solidFill>
                  <a:schemeClr val="tx1"/>
                </a:solidFill>
                <a:latin typeface="Times New Roman" panose="02020603050405020304" pitchFamily="18" charset="0"/>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All</a:t>
            </a:r>
            <a:r>
              <a:rPr lang="en-US" b="1" baseline="0">
                <a:solidFill>
                  <a:schemeClr val="tx1"/>
                </a:solidFill>
                <a:latin typeface="Times New Roman" panose="02020603050405020304" pitchFamily="18" charset="0"/>
                <a:cs typeface="Times New Roman" panose="02020603050405020304" pitchFamily="18" charset="0"/>
              </a:rPr>
              <a:t> Genes per Group</a:t>
            </a:r>
            <a:endParaRPr lang="en-US" b="1">
              <a:solidFill>
                <a:schemeClr val="tx1"/>
              </a:solidFill>
              <a:latin typeface="Times New Roman" panose="02020603050405020304" pitchFamily="18" charset="0"/>
              <a:cs typeface="Times New Roman" panose="02020603050405020304" pitchFamily="18" charset="0"/>
            </a:endParaRPr>
          </a:p>
        </c:rich>
      </c:tx>
      <c:overlay val="0"/>
    </c:title>
    <c:autoTitleDeleted val="0"/>
    <c:plotArea>
      <c:layout/>
      <c:barChart>
        <c:barDir val="col"/>
        <c:grouping val="clustered"/>
        <c:varyColors val="0"/>
        <c:ser>
          <c:idx val="0"/>
          <c:order val="0"/>
          <c:tx>
            <c:strRef>
              <c:f>'Bar Graphs_1'!$V$19</c:f>
              <c:strCache>
                <c:ptCount val="1"/>
                <c:pt idx="0">
                  <c:v>nsP3</c:v>
                </c:pt>
              </c:strCache>
            </c:strRef>
          </c:tx>
          <c:spPr>
            <a:solidFill>
              <a:srgbClr val="000000"/>
            </a:solidFill>
            <a:ln>
              <a:solidFill>
                <a:schemeClr val="tx1"/>
              </a:solidFill>
            </a:ln>
          </c:spPr>
          <c:invertIfNegative val="0"/>
          <c:errBars>
            <c:errBarType val="both"/>
            <c:errValType val="cust"/>
            <c:noEndCap val="0"/>
            <c:plus>
              <c:numRef>
                <c:f>'Bar Graphs_1'!$AF$19:$AK$19</c:f>
                <c:numCache>
                  <c:formatCode>General</c:formatCode>
                  <c:ptCount val="6"/>
                  <c:pt idx="0">
                    <c:v>7.9383298111410747E-2</c:v>
                  </c:pt>
                  <c:pt idx="1">
                    <c:v>0.10908235537049071</c:v>
                  </c:pt>
                  <c:pt idx="2">
                    <c:v>5.9137460738786132E-2</c:v>
                  </c:pt>
                  <c:pt idx="3">
                    <c:v>2.3665158557088593E-2</c:v>
                  </c:pt>
                  <c:pt idx="4">
                    <c:v>0.16437716451521414</c:v>
                  </c:pt>
                  <c:pt idx="5">
                    <c:v>0.17788793499578642</c:v>
                  </c:pt>
                </c:numCache>
              </c:numRef>
            </c:plus>
            <c:minus>
              <c:numRef>
                <c:f>'Bar Graphs_1'!$AF$19:$AK$19</c:f>
                <c:numCache>
                  <c:formatCode>General</c:formatCode>
                  <c:ptCount val="6"/>
                  <c:pt idx="0">
                    <c:v>7.9383298111410747E-2</c:v>
                  </c:pt>
                  <c:pt idx="1">
                    <c:v>0.10908235537049071</c:v>
                  </c:pt>
                  <c:pt idx="2">
                    <c:v>5.9137460738786132E-2</c:v>
                  </c:pt>
                  <c:pt idx="3">
                    <c:v>2.3665158557088593E-2</c:v>
                  </c:pt>
                  <c:pt idx="4">
                    <c:v>0.16437716451521414</c:v>
                  </c:pt>
                  <c:pt idx="5">
                    <c:v>0.17788793499578642</c:v>
                  </c:pt>
                </c:numCache>
              </c:numRef>
            </c:minus>
            <c:spPr>
              <a:ln>
                <a:solidFill>
                  <a:schemeClr val="tx1"/>
                </a:solidFill>
              </a:ln>
            </c:spPr>
          </c:errBars>
          <c:cat>
            <c:strRef>
              <c:f>'Bar Graphs_1'!$W$18:$AB$18</c:f>
              <c:strCache>
                <c:ptCount val="6"/>
                <c:pt idx="0">
                  <c:v>WT 24h</c:v>
                </c:pt>
                <c:pt idx="1">
                  <c:v>Set 1 24h</c:v>
                </c:pt>
                <c:pt idx="2">
                  <c:v>Set 2 24h</c:v>
                </c:pt>
                <c:pt idx="3">
                  <c:v>Set 4 24h</c:v>
                </c:pt>
                <c:pt idx="4">
                  <c:v>Set 5 24h</c:v>
                </c:pt>
                <c:pt idx="5">
                  <c:v>GFP 24h</c:v>
                </c:pt>
              </c:strCache>
            </c:strRef>
          </c:cat>
          <c:val>
            <c:numRef>
              <c:f>'Bar Graphs_1'!$W$19:$AB$19</c:f>
              <c:numCache>
                <c:formatCode>General</c:formatCode>
                <c:ptCount val="6"/>
                <c:pt idx="0">
                  <c:v>1.0021497682695211</c:v>
                </c:pt>
                <c:pt idx="1">
                  <c:v>0.29051094043775477</c:v>
                </c:pt>
                <c:pt idx="2">
                  <c:v>0.21683656131545803</c:v>
                </c:pt>
                <c:pt idx="3">
                  <c:v>0.21202650213859639</c:v>
                </c:pt>
                <c:pt idx="4">
                  <c:v>0.58245147044502021</c:v>
                </c:pt>
                <c:pt idx="5">
                  <c:v>0.52371099169917434</c:v>
                </c:pt>
              </c:numCache>
            </c:numRef>
          </c:val>
          <c:extLst>
            <c:ext xmlns:c16="http://schemas.microsoft.com/office/drawing/2014/chart" uri="{C3380CC4-5D6E-409C-BE32-E72D297353CC}">
              <c16:uniqueId val="{00000000-A234-754F-84FF-3226EB193667}"/>
            </c:ext>
          </c:extLst>
        </c:ser>
        <c:ser>
          <c:idx val="1"/>
          <c:order val="1"/>
          <c:tx>
            <c:strRef>
              <c:f>'Bar Graphs_1'!$V$20</c:f>
              <c:strCache>
                <c:ptCount val="1"/>
                <c:pt idx="0">
                  <c:v>GFP</c:v>
                </c:pt>
              </c:strCache>
            </c:strRef>
          </c:tx>
          <c:spPr>
            <a:pattFill prst="wdDnDiag">
              <a:fgClr>
                <a:srgbClr val="404040"/>
              </a:fgClr>
              <a:bgClr>
                <a:schemeClr val="bg1"/>
              </a:bgClr>
            </a:pattFill>
            <a:ln>
              <a:solidFill>
                <a:schemeClr val="tx1"/>
              </a:solidFill>
            </a:ln>
          </c:spPr>
          <c:invertIfNegative val="0"/>
          <c:errBars>
            <c:errBarType val="both"/>
            <c:errValType val="cust"/>
            <c:noEndCap val="0"/>
            <c:plus>
              <c:numRef>
                <c:f>'Bar Graphs_1'!$AF$20:$AK$20</c:f>
                <c:numCache>
                  <c:formatCode>General</c:formatCode>
                  <c:ptCount val="6"/>
                  <c:pt idx="0">
                    <c:v>0.10369400687210692</c:v>
                  </c:pt>
                  <c:pt idx="1">
                    <c:v>0.21690839768847345</c:v>
                  </c:pt>
                  <c:pt idx="2">
                    <c:v>8.0149349843110732E-3</c:v>
                  </c:pt>
                  <c:pt idx="3">
                    <c:v>5.3682216815091728E-2</c:v>
                  </c:pt>
                  <c:pt idx="4">
                    <c:v>0.67235077653351372</c:v>
                  </c:pt>
                  <c:pt idx="5">
                    <c:v>6.3088649275982789E-2</c:v>
                  </c:pt>
                </c:numCache>
              </c:numRef>
            </c:plus>
            <c:minus>
              <c:numRef>
                <c:f>'Bar Graphs_1'!$AF$20:$AK$20</c:f>
                <c:numCache>
                  <c:formatCode>General</c:formatCode>
                  <c:ptCount val="6"/>
                  <c:pt idx="0">
                    <c:v>0.10369400687210692</c:v>
                  </c:pt>
                  <c:pt idx="1">
                    <c:v>0.21690839768847345</c:v>
                  </c:pt>
                  <c:pt idx="2">
                    <c:v>8.0149349843110732E-3</c:v>
                  </c:pt>
                  <c:pt idx="3">
                    <c:v>5.3682216815091728E-2</c:v>
                  </c:pt>
                  <c:pt idx="4">
                    <c:v>0.67235077653351372</c:v>
                  </c:pt>
                  <c:pt idx="5">
                    <c:v>6.3088649275982789E-2</c:v>
                  </c:pt>
                </c:numCache>
              </c:numRef>
            </c:minus>
            <c:spPr>
              <a:ln>
                <a:solidFill>
                  <a:schemeClr val="tx1"/>
                </a:solidFill>
              </a:ln>
            </c:spPr>
          </c:errBars>
          <c:cat>
            <c:strRef>
              <c:f>'Bar Graphs_1'!$W$18:$AB$18</c:f>
              <c:strCache>
                <c:ptCount val="6"/>
                <c:pt idx="0">
                  <c:v>WT 24h</c:v>
                </c:pt>
                <c:pt idx="1">
                  <c:v>Set 1 24h</c:v>
                </c:pt>
                <c:pt idx="2">
                  <c:v>Set 2 24h</c:v>
                </c:pt>
                <c:pt idx="3">
                  <c:v>Set 4 24h</c:v>
                </c:pt>
                <c:pt idx="4">
                  <c:v>Set 5 24h</c:v>
                </c:pt>
                <c:pt idx="5">
                  <c:v>GFP 24h</c:v>
                </c:pt>
              </c:strCache>
            </c:strRef>
          </c:cat>
          <c:val>
            <c:numRef>
              <c:f>'Bar Graphs_1'!$W$20:$AB$20</c:f>
              <c:numCache>
                <c:formatCode>General</c:formatCode>
                <c:ptCount val="6"/>
                <c:pt idx="0">
                  <c:v>1.0037239724479761</c:v>
                </c:pt>
                <c:pt idx="1">
                  <c:v>0.45288131510533497</c:v>
                </c:pt>
                <c:pt idx="2">
                  <c:v>0.31368926703737471</c:v>
                </c:pt>
                <c:pt idx="3">
                  <c:v>0.81987006953240948</c:v>
                </c:pt>
                <c:pt idx="4">
                  <c:v>1.0299547829501032</c:v>
                </c:pt>
                <c:pt idx="5">
                  <c:v>0.1668414759448538</c:v>
                </c:pt>
              </c:numCache>
            </c:numRef>
          </c:val>
          <c:extLst>
            <c:ext xmlns:c16="http://schemas.microsoft.com/office/drawing/2014/chart" uri="{C3380CC4-5D6E-409C-BE32-E72D297353CC}">
              <c16:uniqueId val="{00000001-A234-754F-84FF-3226EB193667}"/>
            </c:ext>
          </c:extLst>
        </c:ser>
        <c:ser>
          <c:idx val="2"/>
          <c:order val="2"/>
          <c:tx>
            <c:strRef>
              <c:f>'Bar Graphs_1'!$V$21</c:f>
              <c:strCache>
                <c:ptCount val="1"/>
                <c:pt idx="0">
                  <c:v>RIG1</c:v>
                </c:pt>
              </c:strCache>
            </c:strRef>
          </c:tx>
          <c:spPr>
            <a:solidFill>
              <a:srgbClr val="808080"/>
            </a:solidFill>
            <a:ln>
              <a:solidFill>
                <a:schemeClr val="tx1"/>
              </a:solidFill>
            </a:ln>
          </c:spPr>
          <c:invertIfNegative val="0"/>
          <c:errBars>
            <c:errBarType val="both"/>
            <c:errValType val="cust"/>
            <c:noEndCap val="0"/>
            <c:plus>
              <c:numRef>
                <c:f>'Bar Graphs_1'!$AF$21:$AK$21</c:f>
                <c:numCache>
                  <c:formatCode>General</c:formatCode>
                  <c:ptCount val="6"/>
                  <c:pt idx="0">
                    <c:v>8.2968365721510257E-2</c:v>
                  </c:pt>
                  <c:pt idx="1">
                    <c:v>1.8962507789808226E-2</c:v>
                  </c:pt>
                  <c:pt idx="2">
                    <c:v>1.4103057952578957E-2</c:v>
                  </c:pt>
                  <c:pt idx="3">
                    <c:v>3.9527591177183165E-2</c:v>
                  </c:pt>
                  <c:pt idx="4">
                    <c:v>0.1829460303106627</c:v>
                  </c:pt>
                  <c:pt idx="5">
                    <c:v>2.5979459872460864E-2</c:v>
                  </c:pt>
                </c:numCache>
              </c:numRef>
            </c:plus>
            <c:minus>
              <c:numRef>
                <c:f>'Bar Graphs_1'!$AF$21:$AK$21</c:f>
                <c:numCache>
                  <c:formatCode>General</c:formatCode>
                  <c:ptCount val="6"/>
                  <c:pt idx="0">
                    <c:v>8.2968365721510257E-2</c:v>
                  </c:pt>
                  <c:pt idx="1">
                    <c:v>1.8962507789808226E-2</c:v>
                  </c:pt>
                  <c:pt idx="2">
                    <c:v>1.4103057952578957E-2</c:v>
                  </c:pt>
                  <c:pt idx="3">
                    <c:v>3.9527591177183165E-2</c:v>
                  </c:pt>
                  <c:pt idx="4">
                    <c:v>0.1829460303106627</c:v>
                  </c:pt>
                  <c:pt idx="5">
                    <c:v>2.5979459872460864E-2</c:v>
                  </c:pt>
                </c:numCache>
              </c:numRef>
            </c:minus>
            <c:spPr>
              <a:ln>
                <a:solidFill>
                  <a:schemeClr val="tx1"/>
                </a:solidFill>
              </a:ln>
            </c:spPr>
          </c:errBars>
          <c:cat>
            <c:strRef>
              <c:f>'Bar Graphs_1'!$W$18:$AB$18</c:f>
              <c:strCache>
                <c:ptCount val="6"/>
                <c:pt idx="0">
                  <c:v>WT 24h</c:v>
                </c:pt>
                <c:pt idx="1">
                  <c:v>Set 1 24h</c:v>
                </c:pt>
                <c:pt idx="2">
                  <c:v>Set 2 24h</c:v>
                </c:pt>
                <c:pt idx="3">
                  <c:v>Set 4 24h</c:v>
                </c:pt>
                <c:pt idx="4">
                  <c:v>Set 5 24h</c:v>
                </c:pt>
                <c:pt idx="5">
                  <c:v>GFP 24h</c:v>
                </c:pt>
              </c:strCache>
            </c:strRef>
          </c:cat>
          <c:val>
            <c:numRef>
              <c:f>'Bar Graphs_1'!$W$21:$AB$21</c:f>
              <c:numCache>
                <c:formatCode>General</c:formatCode>
                <c:ptCount val="6"/>
                <c:pt idx="0">
                  <c:v>1.0022225443202852</c:v>
                </c:pt>
                <c:pt idx="1">
                  <c:v>0.16694846771356711</c:v>
                </c:pt>
                <c:pt idx="2">
                  <c:v>0.20795825419615699</c:v>
                </c:pt>
                <c:pt idx="3">
                  <c:v>0.17976850157185656</c:v>
                </c:pt>
                <c:pt idx="4">
                  <c:v>0.33544116233186988</c:v>
                </c:pt>
                <c:pt idx="5">
                  <c:v>1.1604318150060513</c:v>
                </c:pt>
              </c:numCache>
            </c:numRef>
          </c:val>
          <c:extLst>
            <c:ext xmlns:c16="http://schemas.microsoft.com/office/drawing/2014/chart" uri="{C3380CC4-5D6E-409C-BE32-E72D297353CC}">
              <c16:uniqueId val="{00000002-A234-754F-84FF-3226EB193667}"/>
            </c:ext>
          </c:extLst>
        </c:ser>
        <c:ser>
          <c:idx val="3"/>
          <c:order val="3"/>
          <c:tx>
            <c:strRef>
              <c:f>'Bar Graphs_1'!$V$22</c:f>
              <c:strCache>
                <c:ptCount val="1"/>
                <c:pt idx="0">
                  <c:v>MDA5</c:v>
                </c:pt>
              </c:strCache>
            </c:strRef>
          </c:tx>
          <c:spPr>
            <a:pattFill prst="pct50">
              <a:fgClr>
                <a:srgbClr val="BFBFBF"/>
              </a:fgClr>
              <a:bgClr>
                <a:schemeClr val="bg1"/>
              </a:bgClr>
            </a:pattFill>
            <a:ln>
              <a:solidFill>
                <a:schemeClr val="tx1"/>
              </a:solidFill>
            </a:ln>
          </c:spPr>
          <c:invertIfNegative val="0"/>
          <c:errBars>
            <c:errBarType val="both"/>
            <c:errValType val="cust"/>
            <c:noEndCap val="0"/>
            <c:plus>
              <c:numRef>
                <c:f>'Bar Graphs_1'!$AF$22:$AK$22</c:f>
                <c:numCache>
                  <c:formatCode>General</c:formatCode>
                  <c:ptCount val="6"/>
                  <c:pt idx="0">
                    <c:v>0.21143866708147527</c:v>
                  </c:pt>
                  <c:pt idx="1">
                    <c:v>3.9558395467272002E-2</c:v>
                  </c:pt>
                  <c:pt idx="2">
                    <c:v>4.1113971217373708E-2</c:v>
                  </c:pt>
                  <c:pt idx="3">
                    <c:v>1.2095650110098371E-2</c:v>
                  </c:pt>
                  <c:pt idx="4">
                    <c:v>4.5971733729839245E-2</c:v>
                  </c:pt>
                  <c:pt idx="5">
                    <c:v>8.4450380705903855E-2</c:v>
                  </c:pt>
                </c:numCache>
              </c:numRef>
            </c:plus>
            <c:minus>
              <c:numRef>
                <c:f>'Bar Graphs_1'!$AF$22:$AK$22</c:f>
                <c:numCache>
                  <c:formatCode>General</c:formatCode>
                  <c:ptCount val="6"/>
                  <c:pt idx="0">
                    <c:v>0.21143866708147527</c:v>
                  </c:pt>
                  <c:pt idx="1">
                    <c:v>3.9558395467272002E-2</c:v>
                  </c:pt>
                  <c:pt idx="2">
                    <c:v>4.1113971217373708E-2</c:v>
                  </c:pt>
                  <c:pt idx="3">
                    <c:v>1.2095650110098371E-2</c:v>
                  </c:pt>
                  <c:pt idx="4">
                    <c:v>4.5971733729839245E-2</c:v>
                  </c:pt>
                  <c:pt idx="5">
                    <c:v>8.4450380705903855E-2</c:v>
                  </c:pt>
                </c:numCache>
              </c:numRef>
            </c:minus>
            <c:spPr>
              <a:ln>
                <a:solidFill>
                  <a:schemeClr val="tx1"/>
                </a:solidFill>
              </a:ln>
            </c:spPr>
          </c:errBars>
          <c:cat>
            <c:strRef>
              <c:f>'Bar Graphs_1'!$W$18:$AB$18</c:f>
              <c:strCache>
                <c:ptCount val="6"/>
                <c:pt idx="0">
                  <c:v>WT 24h</c:v>
                </c:pt>
                <c:pt idx="1">
                  <c:v>Set 1 24h</c:v>
                </c:pt>
                <c:pt idx="2">
                  <c:v>Set 2 24h</c:v>
                </c:pt>
                <c:pt idx="3">
                  <c:v>Set 4 24h</c:v>
                </c:pt>
                <c:pt idx="4">
                  <c:v>Set 5 24h</c:v>
                </c:pt>
                <c:pt idx="5">
                  <c:v>GFP 24h</c:v>
                </c:pt>
              </c:strCache>
            </c:strRef>
          </c:cat>
          <c:val>
            <c:numRef>
              <c:f>'Bar Graphs_1'!$W$22:$AB$22</c:f>
              <c:numCache>
                <c:formatCode>General</c:formatCode>
                <c:ptCount val="6"/>
                <c:pt idx="0">
                  <c:v>1.0141265842032856</c:v>
                </c:pt>
                <c:pt idx="1">
                  <c:v>0.10527145563470469</c:v>
                </c:pt>
                <c:pt idx="2">
                  <c:v>0.28758416938531267</c:v>
                </c:pt>
                <c:pt idx="3">
                  <c:v>3.7186731496743737E-2</c:v>
                </c:pt>
                <c:pt idx="4">
                  <c:v>5.3383020170898458E-2</c:v>
                </c:pt>
                <c:pt idx="5">
                  <c:v>2.1024135187859301</c:v>
                </c:pt>
              </c:numCache>
            </c:numRef>
          </c:val>
          <c:extLst>
            <c:ext xmlns:c16="http://schemas.microsoft.com/office/drawing/2014/chart" uri="{C3380CC4-5D6E-409C-BE32-E72D297353CC}">
              <c16:uniqueId val="{00000003-A234-754F-84FF-3226EB193667}"/>
            </c:ext>
          </c:extLst>
        </c:ser>
        <c:ser>
          <c:idx val="4"/>
          <c:order val="4"/>
          <c:tx>
            <c:strRef>
              <c:f>'Bar Graphs_1'!$V$23</c:f>
              <c:strCache>
                <c:ptCount val="1"/>
                <c:pt idx="0">
                  <c:v>IFIT</c:v>
                </c:pt>
              </c:strCache>
            </c:strRef>
          </c:tx>
          <c:spPr>
            <a:solidFill>
              <a:srgbClr val="FFFFFF"/>
            </a:solidFill>
            <a:ln>
              <a:solidFill>
                <a:schemeClr val="tx1"/>
              </a:solidFill>
            </a:ln>
          </c:spPr>
          <c:invertIfNegative val="0"/>
          <c:errBars>
            <c:errBarType val="both"/>
            <c:errValType val="cust"/>
            <c:noEndCap val="0"/>
            <c:plus>
              <c:numRef>
                <c:f>'Bar Graphs_1'!$AF$23:$AK$23</c:f>
                <c:numCache>
                  <c:formatCode>General</c:formatCode>
                  <c:ptCount val="6"/>
                  <c:pt idx="0">
                    <c:v>0.15605651889395658</c:v>
                  </c:pt>
                  <c:pt idx="1">
                    <c:v>8.1462642184160522E-2</c:v>
                  </c:pt>
                  <c:pt idx="2">
                    <c:v>0.12478129778287836</c:v>
                  </c:pt>
                  <c:pt idx="3">
                    <c:v>0.11411621478252502</c:v>
                  </c:pt>
                  <c:pt idx="4">
                    <c:v>0.12035984291892513</c:v>
                  </c:pt>
                  <c:pt idx="5">
                    <c:v>0.13014608696734187</c:v>
                  </c:pt>
                </c:numCache>
              </c:numRef>
            </c:plus>
            <c:minus>
              <c:numRef>
                <c:f>'Bar Graphs_1'!$AF$23:$AK$23</c:f>
                <c:numCache>
                  <c:formatCode>General</c:formatCode>
                  <c:ptCount val="6"/>
                  <c:pt idx="0">
                    <c:v>0.15605651889395658</c:v>
                  </c:pt>
                  <c:pt idx="1">
                    <c:v>8.1462642184160522E-2</c:v>
                  </c:pt>
                  <c:pt idx="2">
                    <c:v>0.12478129778287836</c:v>
                  </c:pt>
                  <c:pt idx="3">
                    <c:v>0.11411621478252502</c:v>
                  </c:pt>
                  <c:pt idx="4">
                    <c:v>0.12035984291892513</c:v>
                  </c:pt>
                  <c:pt idx="5">
                    <c:v>0.13014608696734187</c:v>
                  </c:pt>
                </c:numCache>
              </c:numRef>
            </c:minus>
            <c:spPr>
              <a:ln>
                <a:solidFill>
                  <a:schemeClr val="tx1"/>
                </a:solidFill>
              </a:ln>
            </c:spPr>
          </c:errBars>
          <c:cat>
            <c:strRef>
              <c:f>'Bar Graphs_1'!$W$18:$AB$18</c:f>
              <c:strCache>
                <c:ptCount val="6"/>
                <c:pt idx="0">
                  <c:v>WT 24h</c:v>
                </c:pt>
                <c:pt idx="1">
                  <c:v>Set 1 24h</c:v>
                </c:pt>
                <c:pt idx="2">
                  <c:v>Set 2 24h</c:v>
                </c:pt>
                <c:pt idx="3">
                  <c:v>Set 4 24h</c:v>
                </c:pt>
                <c:pt idx="4">
                  <c:v>Set 5 24h</c:v>
                </c:pt>
                <c:pt idx="5">
                  <c:v>GFP 24h</c:v>
                </c:pt>
              </c:strCache>
            </c:strRef>
          </c:cat>
          <c:val>
            <c:numRef>
              <c:f>'Bar Graphs_1'!$W$23:$AB$23</c:f>
              <c:numCache>
                <c:formatCode>General</c:formatCode>
                <c:ptCount val="6"/>
                <c:pt idx="0">
                  <c:v>1.0078069386399011</c:v>
                </c:pt>
                <c:pt idx="1">
                  <c:v>0.24685267379990419</c:v>
                </c:pt>
                <c:pt idx="2">
                  <c:v>0.60513266257053122</c:v>
                </c:pt>
                <c:pt idx="3">
                  <c:v>0.31041228947102278</c:v>
                </c:pt>
                <c:pt idx="4">
                  <c:v>0.30104996684032032</c:v>
                </c:pt>
                <c:pt idx="5">
                  <c:v>2.0210197374337837</c:v>
                </c:pt>
              </c:numCache>
            </c:numRef>
          </c:val>
          <c:extLst>
            <c:ext xmlns:c16="http://schemas.microsoft.com/office/drawing/2014/chart" uri="{C3380CC4-5D6E-409C-BE32-E72D297353CC}">
              <c16:uniqueId val="{00000004-A234-754F-84FF-3226EB193667}"/>
            </c:ext>
          </c:extLst>
        </c:ser>
        <c:dLbls>
          <c:showLegendKey val="0"/>
          <c:showVal val="0"/>
          <c:showCatName val="0"/>
          <c:showSerName val="0"/>
          <c:showPercent val="0"/>
          <c:showBubbleSize val="0"/>
        </c:dLbls>
        <c:gapWidth val="219"/>
        <c:overlap val="-27"/>
        <c:axId val="493464512"/>
        <c:axId val="531495808"/>
      </c:barChart>
      <c:scatterChart>
        <c:scatterStyle val="lineMarker"/>
        <c:varyColors val="0"/>
        <c:ser>
          <c:idx val="5"/>
          <c:order val="5"/>
          <c:tx>
            <c:strRef>
              <c:f>'Bar Graphs_1'!$X$28</c:f>
              <c:strCache>
                <c:ptCount val="1"/>
                <c:pt idx="0">
                  <c:v>WT 24h</c:v>
                </c:pt>
              </c:strCache>
            </c:strRef>
          </c:tx>
          <c:spPr>
            <a:ln w="25400">
              <a:noFill/>
            </a:ln>
          </c:spPr>
          <c:marker>
            <c:symbol val="circle"/>
            <c:size val="3"/>
            <c:spPr>
              <a:solidFill>
                <a:schemeClr val="bg1"/>
              </a:solidFill>
              <a:ln>
                <a:solidFill>
                  <a:schemeClr val="tx1"/>
                </a:solidFill>
              </a:ln>
            </c:spPr>
          </c:marker>
          <c:xVal>
            <c:numRef>
              <c:f>'Bar Graphs_1'!$W$29:$W$43</c:f>
              <c:numCache>
                <c:formatCode>General</c:formatCode>
                <c:ptCount val="15"/>
                <c:pt idx="0">
                  <c:v>0.69469999999999998</c:v>
                </c:pt>
                <c:pt idx="1">
                  <c:v>0.69469999999999998</c:v>
                </c:pt>
                <c:pt idx="2">
                  <c:v>0.69469999999999998</c:v>
                </c:pt>
                <c:pt idx="3">
                  <c:v>0.84789999999999999</c:v>
                </c:pt>
                <c:pt idx="4">
                  <c:v>0.84789999999999999</c:v>
                </c:pt>
                <c:pt idx="5">
                  <c:v>0.84789999999999999</c:v>
                </c:pt>
                <c:pt idx="6">
                  <c:v>1</c:v>
                </c:pt>
                <c:pt idx="7">
                  <c:v>1</c:v>
                </c:pt>
                <c:pt idx="8">
                  <c:v>1</c:v>
                </c:pt>
                <c:pt idx="9">
                  <c:v>1.157</c:v>
                </c:pt>
                <c:pt idx="10">
                  <c:v>1.157</c:v>
                </c:pt>
                <c:pt idx="11">
                  <c:v>1.157</c:v>
                </c:pt>
                <c:pt idx="12">
                  <c:v>1.3049999999999999</c:v>
                </c:pt>
                <c:pt idx="13">
                  <c:v>1.3049999999999999</c:v>
                </c:pt>
                <c:pt idx="14">
                  <c:v>1.3049999999999999</c:v>
                </c:pt>
              </c:numCache>
            </c:numRef>
          </c:xVal>
          <c:yVal>
            <c:numRef>
              <c:f>'Bar Graphs_1'!$X$29:$X$43</c:f>
              <c:numCache>
                <c:formatCode>General</c:formatCode>
                <c:ptCount val="15"/>
                <c:pt idx="0">
                  <c:v>1.0649768848279992</c:v>
                </c:pt>
                <c:pt idx="1">
                  <c:v>1.0285399563027453</c:v>
                </c:pt>
                <c:pt idx="2">
                  <c:v>0.91293246367781822</c:v>
                </c:pt>
                <c:pt idx="3">
                  <c:v>1.0567590296487801</c:v>
                </c:pt>
                <c:pt idx="4">
                  <c:v>1.0701736912628501</c:v>
                </c:pt>
                <c:pt idx="5">
                  <c:v>0.88423919643229809</c:v>
                </c:pt>
                <c:pt idx="6">
                  <c:v>0.95915336143878294</c:v>
                </c:pt>
                <c:pt idx="7">
                  <c:v>1.097868766595461</c:v>
                </c:pt>
                <c:pt idx="8">
                  <c:v>0.94964550492661126</c:v>
                </c:pt>
                <c:pt idx="9">
                  <c:v>0.95731126495480512</c:v>
                </c:pt>
                <c:pt idx="10">
                  <c:v>1.2481682015320135</c:v>
                </c:pt>
                <c:pt idx="11">
                  <c:v>0.83690028612303802</c:v>
                </c:pt>
                <c:pt idx="12">
                  <c:v>0.87671095373194685</c:v>
                </c:pt>
                <c:pt idx="13">
                  <c:v>1.1804250910127834</c:v>
                </c:pt>
                <c:pt idx="14">
                  <c:v>0.96628477117497291</c:v>
                </c:pt>
              </c:numCache>
            </c:numRef>
          </c:yVal>
          <c:smooth val="0"/>
          <c:extLst>
            <c:ext xmlns:c16="http://schemas.microsoft.com/office/drawing/2014/chart" uri="{C3380CC4-5D6E-409C-BE32-E72D297353CC}">
              <c16:uniqueId val="{00000006-A234-754F-84FF-3226EB193667}"/>
            </c:ext>
          </c:extLst>
        </c:ser>
        <c:ser>
          <c:idx val="6"/>
          <c:order val="6"/>
          <c:tx>
            <c:strRef>
              <c:f>'Bar Graphs_1'!$Z$28</c:f>
              <c:strCache>
                <c:ptCount val="1"/>
                <c:pt idx="0">
                  <c:v>Set 1 24h</c:v>
                </c:pt>
              </c:strCache>
            </c:strRef>
          </c:tx>
          <c:spPr>
            <a:ln w="25400">
              <a:noFill/>
            </a:ln>
          </c:spPr>
          <c:marker>
            <c:symbol val="circle"/>
            <c:size val="3"/>
            <c:spPr>
              <a:solidFill>
                <a:schemeClr val="bg1"/>
              </a:solidFill>
              <a:ln>
                <a:solidFill>
                  <a:schemeClr val="tx1"/>
                </a:solidFill>
              </a:ln>
            </c:spPr>
          </c:marker>
          <c:xVal>
            <c:numRef>
              <c:f>'Bar Graphs_1'!$Y$29:$Y$43</c:f>
              <c:numCache>
                <c:formatCode>General</c:formatCode>
                <c:ptCount val="15"/>
                <c:pt idx="0">
                  <c:v>1.6947000000000001</c:v>
                </c:pt>
                <c:pt idx="1">
                  <c:v>1.6947000000000001</c:v>
                </c:pt>
                <c:pt idx="2">
                  <c:v>1.6947000000000001</c:v>
                </c:pt>
                <c:pt idx="3">
                  <c:v>1.8479000000000001</c:v>
                </c:pt>
                <c:pt idx="4">
                  <c:v>1.8479000000000001</c:v>
                </c:pt>
                <c:pt idx="5">
                  <c:v>1.8479000000000001</c:v>
                </c:pt>
                <c:pt idx="6">
                  <c:v>2</c:v>
                </c:pt>
                <c:pt idx="7">
                  <c:v>2</c:v>
                </c:pt>
                <c:pt idx="8">
                  <c:v>2</c:v>
                </c:pt>
                <c:pt idx="9">
                  <c:v>2.157</c:v>
                </c:pt>
                <c:pt idx="10">
                  <c:v>2.157</c:v>
                </c:pt>
                <c:pt idx="11">
                  <c:v>2.157</c:v>
                </c:pt>
                <c:pt idx="12">
                  <c:v>2.3049999999999997</c:v>
                </c:pt>
                <c:pt idx="13">
                  <c:v>2.3049999999999997</c:v>
                </c:pt>
                <c:pt idx="14">
                  <c:v>2.3049999999999997</c:v>
                </c:pt>
              </c:numCache>
            </c:numRef>
          </c:xVal>
          <c:yVal>
            <c:numRef>
              <c:f>'Bar Graphs_1'!$Z$29:$Z$43</c:f>
              <c:numCache>
                <c:formatCode>General</c:formatCode>
                <c:ptCount val="15"/>
                <c:pt idx="0">
                  <c:v>0.41645960643024144</c:v>
                </c:pt>
                <c:pt idx="1">
                  <c:v>0.22882517416806944</c:v>
                </c:pt>
                <c:pt idx="2">
                  <c:v>0.22624804071495339</c:v>
                </c:pt>
                <c:pt idx="3">
                  <c:v>0.6936765560603535</c:v>
                </c:pt>
                <c:pt idx="4">
                  <c:v>0.27279708023362575</c:v>
                </c:pt>
                <c:pt idx="5">
                  <c:v>0.39217030902202554</c:v>
                </c:pt>
                <c:pt idx="6">
                  <c:v>0.17263368756432385</c:v>
                </c:pt>
                <c:pt idx="7">
                  <c:v>0.14579369221131175</c:v>
                </c:pt>
                <c:pt idx="8">
                  <c:v>0.18241802336506574</c:v>
                </c:pt>
                <c:pt idx="9">
                  <c:v>0.13073718193499692</c:v>
                </c:pt>
                <c:pt idx="10">
                  <c:v>0.12537895240865263</c:v>
                </c:pt>
                <c:pt idx="11">
                  <c:v>5.9698232560464519E-2</c:v>
                </c:pt>
                <c:pt idx="12">
                  <c:v>0.22329540952965868</c:v>
                </c:pt>
                <c:pt idx="13">
                  <c:v>0.33749798804287862</c:v>
                </c:pt>
                <c:pt idx="14">
                  <c:v>0.17976462382717531</c:v>
                </c:pt>
              </c:numCache>
            </c:numRef>
          </c:yVal>
          <c:smooth val="0"/>
          <c:extLst>
            <c:ext xmlns:c16="http://schemas.microsoft.com/office/drawing/2014/chart" uri="{C3380CC4-5D6E-409C-BE32-E72D297353CC}">
              <c16:uniqueId val="{00000007-A234-754F-84FF-3226EB193667}"/>
            </c:ext>
          </c:extLst>
        </c:ser>
        <c:ser>
          <c:idx val="7"/>
          <c:order val="7"/>
          <c:tx>
            <c:strRef>
              <c:f>'Bar Graphs_1'!$AB$28</c:f>
              <c:strCache>
                <c:ptCount val="1"/>
                <c:pt idx="0">
                  <c:v>Set 2 24h</c:v>
                </c:pt>
              </c:strCache>
            </c:strRef>
          </c:tx>
          <c:spPr>
            <a:ln w="25400">
              <a:noFill/>
            </a:ln>
          </c:spPr>
          <c:marker>
            <c:symbol val="circle"/>
            <c:size val="3"/>
            <c:spPr>
              <a:solidFill>
                <a:schemeClr val="bg1"/>
              </a:solidFill>
              <a:ln>
                <a:solidFill>
                  <a:schemeClr val="tx1"/>
                </a:solidFill>
              </a:ln>
            </c:spPr>
          </c:marker>
          <c:xVal>
            <c:numRef>
              <c:f>'Bar Graphs_1'!$AA$29:$AA$43</c:f>
              <c:numCache>
                <c:formatCode>General</c:formatCode>
                <c:ptCount val="15"/>
                <c:pt idx="0">
                  <c:v>2.6947000000000001</c:v>
                </c:pt>
                <c:pt idx="1">
                  <c:v>2.6947000000000001</c:v>
                </c:pt>
                <c:pt idx="2">
                  <c:v>2.6947000000000001</c:v>
                </c:pt>
                <c:pt idx="3">
                  <c:v>2.8479000000000001</c:v>
                </c:pt>
                <c:pt idx="4">
                  <c:v>2.8479000000000001</c:v>
                </c:pt>
                <c:pt idx="5">
                  <c:v>2.8479000000000001</c:v>
                </c:pt>
                <c:pt idx="6">
                  <c:v>3</c:v>
                </c:pt>
                <c:pt idx="7">
                  <c:v>3</c:v>
                </c:pt>
                <c:pt idx="8">
                  <c:v>3</c:v>
                </c:pt>
                <c:pt idx="9">
                  <c:v>3.157</c:v>
                </c:pt>
                <c:pt idx="10">
                  <c:v>3.157</c:v>
                </c:pt>
                <c:pt idx="11">
                  <c:v>3.157</c:v>
                </c:pt>
                <c:pt idx="12">
                  <c:v>3.3049999999999997</c:v>
                </c:pt>
                <c:pt idx="13">
                  <c:v>3.3049999999999997</c:v>
                </c:pt>
                <c:pt idx="14">
                  <c:v>3.3049999999999997</c:v>
                </c:pt>
              </c:numCache>
            </c:numRef>
          </c:xVal>
          <c:yVal>
            <c:numRef>
              <c:f>'Bar Graphs_1'!$AB$29:$AB$43</c:f>
              <c:numCache>
                <c:formatCode>General</c:formatCode>
                <c:ptCount val="15"/>
                <c:pt idx="0">
                  <c:v>0.18184729533706392</c:v>
                </c:pt>
                <c:pt idx="1">
                  <c:v>0.28511556899167234</c:v>
                </c:pt>
                <c:pt idx="2">
                  <c:v>0.18354681961763783</c:v>
                </c:pt>
                <c:pt idx="3">
                  <c:v>0.30950712517343493</c:v>
                </c:pt>
                <c:pt idx="4">
                  <c:v>0.32293026453366291</c:v>
                </c:pt>
                <c:pt idx="5">
                  <c:v>0.30863041140502617</c:v>
                </c:pt>
                <c:pt idx="6">
                  <c:v>0.203634806630802</c:v>
                </c:pt>
                <c:pt idx="7">
                  <c:v>0.19652302631767085</c:v>
                </c:pt>
                <c:pt idx="8">
                  <c:v>0.22371692963999809</c:v>
                </c:pt>
                <c:pt idx="9">
                  <c:v>0.27739609685027516</c:v>
                </c:pt>
                <c:pt idx="10">
                  <c:v>0.33283428878825</c:v>
                </c:pt>
                <c:pt idx="11">
                  <c:v>0.25252212251741291</c:v>
                </c:pt>
                <c:pt idx="12">
                  <c:v>0.50860096620486972</c:v>
                </c:pt>
                <c:pt idx="13">
                  <c:v>0.74603541470613477</c:v>
                </c:pt>
                <c:pt idx="14">
                  <c:v>0.56076160680058895</c:v>
                </c:pt>
              </c:numCache>
            </c:numRef>
          </c:yVal>
          <c:smooth val="0"/>
          <c:extLst>
            <c:ext xmlns:c16="http://schemas.microsoft.com/office/drawing/2014/chart" uri="{C3380CC4-5D6E-409C-BE32-E72D297353CC}">
              <c16:uniqueId val="{00000008-A234-754F-84FF-3226EB193667}"/>
            </c:ext>
          </c:extLst>
        </c:ser>
        <c:ser>
          <c:idx val="8"/>
          <c:order val="8"/>
          <c:tx>
            <c:strRef>
              <c:f>'Bar Graphs_1'!$AD$28</c:f>
              <c:strCache>
                <c:ptCount val="1"/>
                <c:pt idx="0">
                  <c:v>Set 4 24h</c:v>
                </c:pt>
              </c:strCache>
            </c:strRef>
          </c:tx>
          <c:spPr>
            <a:ln w="25400">
              <a:noFill/>
            </a:ln>
          </c:spPr>
          <c:marker>
            <c:symbol val="circle"/>
            <c:size val="3"/>
            <c:spPr>
              <a:solidFill>
                <a:schemeClr val="bg1"/>
              </a:solidFill>
              <a:ln>
                <a:solidFill>
                  <a:schemeClr val="tx1"/>
                </a:solidFill>
              </a:ln>
            </c:spPr>
          </c:marker>
          <c:xVal>
            <c:numRef>
              <c:f>'Bar Graphs_1'!$AC$29:$AC$43</c:f>
              <c:numCache>
                <c:formatCode>General</c:formatCode>
                <c:ptCount val="15"/>
                <c:pt idx="0">
                  <c:v>3.6947000000000001</c:v>
                </c:pt>
                <c:pt idx="1">
                  <c:v>3.6947000000000001</c:v>
                </c:pt>
                <c:pt idx="2">
                  <c:v>3.6947000000000001</c:v>
                </c:pt>
                <c:pt idx="3">
                  <c:v>3.8479000000000001</c:v>
                </c:pt>
                <c:pt idx="4">
                  <c:v>3.8479000000000001</c:v>
                </c:pt>
                <c:pt idx="5">
                  <c:v>3.8479000000000001</c:v>
                </c:pt>
                <c:pt idx="6">
                  <c:v>4</c:v>
                </c:pt>
                <c:pt idx="7">
                  <c:v>4</c:v>
                </c:pt>
                <c:pt idx="8">
                  <c:v>4</c:v>
                </c:pt>
                <c:pt idx="9">
                  <c:v>4.157</c:v>
                </c:pt>
                <c:pt idx="10">
                  <c:v>4.157</c:v>
                </c:pt>
                <c:pt idx="11">
                  <c:v>4.157</c:v>
                </c:pt>
                <c:pt idx="12">
                  <c:v>4.3049999999999997</c:v>
                </c:pt>
                <c:pt idx="13">
                  <c:v>4.3049999999999997</c:v>
                </c:pt>
                <c:pt idx="14">
                  <c:v>4.3049999999999997</c:v>
                </c:pt>
              </c:numCache>
            </c:numRef>
          </c:xVal>
          <c:yVal>
            <c:numRef>
              <c:f>'Bar Graphs_1'!$AD$29:$AD$43</c:f>
              <c:numCache>
                <c:formatCode>General</c:formatCode>
                <c:ptCount val="15"/>
                <c:pt idx="0">
                  <c:v>0.20897491955851222</c:v>
                </c:pt>
                <c:pt idx="1">
                  <c:v>0.19003515898692047</c:v>
                </c:pt>
                <c:pt idx="2">
                  <c:v>0.23706942787035645</c:v>
                </c:pt>
                <c:pt idx="3">
                  <c:v>0.83292122784334754</c:v>
                </c:pt>
                <c:pt idx="4">
                  <c:v>0.86582335138058319</c:v>
                </c:pt>
                <c:pt idx="5">
                  <c:v>0.76086562937329794</c:v>
                </c:pt>
                <c:pt idx="6">
                  <c:v>0.15618700662081381</c:v>
                </c:pt>
                <c:pt idx="7">
                  <c:v>0.22540249484585298</c:v>
                </c:pt>
                <c:pt idx="8">
                  <c:v>0.15771600324890289</c:v>
                </c:pt>
                <c:pt idx="9">
                  <c:v>5.0831043712823501E-2</c:v>
                </c:pt>
                <c:pt idx="10">
                  <c:v>2.7780139338319788E-2</c:v>
                </c:pt>
                <c:pt idx="11">
                  <c:v>3.2949011439087919E-2</c:v>
                </c:pt>
                <c:pt idx="12">
                  <c:v>0.43754655190818187</c:v>
                </c:pt>
                <c:pt idx="13">
                  <c:v>0.27684799082223627</c:v>
                </c:pt>
                <c:pt idx="14">
                  <c:v>0.2168423256826503</c:v>
                </c:pt>
              </c:numCache>
            </c:numRef>
          </c:yVal>
          <c:smooth val="0"/>
          <c:extLst>
            <c:ext xmlns:c16="http://schemas.microsoft.com/office/drawing/2014/chart" uri="{C3380CC4-5D6E-409C-BE32-E72D297353CC}">
              <c16:uniqueId val="{00000009-A234-754F-84FF-3226EB193667}"/>
            </c:ext>
          </c:extLst>
        </c:ser>
        <c:ser>
          <c:idx val="9"/>
          <c:order val="9"/>
          <c:tx>
            <c:strRef>
              <c:f>'Bar Graphs_1'!$AF$28</c:f>
              <c:strCache>
                <c:ptCount val="1"/>
                <c:pt idx="0">
                  <c:v>Set 5 24h</c:v>
                </c:pt>
              </c:strCache>
            </c:strRef>
          </c:tx>
          <c:spPr>
            <a:ln w="25400">
              <a:noFill/>
            </a:ln>
          </c:spPr>
          <c:marker>
            <c:symbol val="circle"/>
            <c:size val="3"/>
            <c:spPr>
              <a:solidFill>
                <a:schemeClr val="bg1"/>
              </a:solidFill>
              <a:ln>
                <a:solidFill>
                  <a:schemeClr val="tx1"/>
                </a:solidFill>
              </a:ln>
            </c:spPr>
          </c:marker>
          <c:xVal>
            <c:numRef>
              <c:f>'Bar Graphs_1'!$AE$29:$AE$43</c:f>
              <c:numCache>
                <c:formatCode>General</c:formatCode>
                <c:ptCount val="15"/>
                <c:pt idx="0">
                  <c:v>4.6947000000000001</c:v>
                </c:pt>
                <c:pt idx="1">
                  <c:v>4.6947000000000001</c:v>
                </c:pt>
                <c:pt idx="2">
                  <c:v>4.6947000000000001</c:v>
                </c:pt>
                <c:pt idx="3">
                  <c:v>4.8479000000000001</c:v>
                </c:pt>
                <c:pt idx="4">
                  <c:v>4.8479000000000001</c:v>
                </c:pt>
                <c:pt idx="5">
                  <c:v>4.8479000000000001</c:v>
                </c:pt>
                <c:pt idx="6">
                  <c:v>5</c:v>
                </c:pt>
                <c:pt idx="7">
                  <c:v>5</c:v>
                </c:pt>
                <c:pt idx="8">
                  <c:v>5</c:v>
                </c:pt>
                <c:pt idx="9">
                  <c:v>5.157</c:v>
                </c:pt>
                <c:pt idx="10">
                  <c:v>5.157</c:v>
                </c:pt>
                <c:pt idx="11">
                  <c:v>5.157</c:v>
                </c:pt>
                <c:pt idx="12">
                  <c:v>5.3049999999999997</c:v>
                </c:pt>
                <c:pt idx="13">
                  <c:v>5.3049999999999997</c:v>
                </c:pt>
                <c:pt idx="14">
                  <c:v>5.3049999999999997</c:v>
                </c:pt>
              </c:numCache>
            </c:numRef>
          </c:xVal>
          <c:yVal>
            <c:numRef>
              <c:f>'Bar Graphs_1'!$AF$29:$AF$43</c:f>
              <c:numCache>
                <c:formatCode>General</c:formatCode>
                <c:ptCount val="15"/>
                <c:pt idx="0">
                  <c:v>0.73749426602714252</c:v>
                </c:pt>
                <c:pt idx="1">
                  <c:v>0.59975175196635033</c:v>
                </c:pt>
                <c:pt idx="2">
                  <c:v>0.41010839334156768</c:v>
                </c:pt>
                <c:pt idx="3">
                  <c:v>1.8018019406838788</c:v>
                </c:pt>
                <c:pt idx="4">
                  <c:v>0.71645040408527227</c:v>
                </c:pt>
                <c:pt idx="5">
                  <c:v>0.57161200408115909</c:v>
                </c:pt>
                <c:pt idx="6">
                  <c:v>0.54603343857545172</c:v>
                </c:pt>
                <c:pt idx="7">
                  <c:v>0.21574294462620933</c:v>
                </c:pt>
                <c:pt idx="8">
                  <c:v>0.24454710379394859</c:v>
                </c:pt>
                <c:pt idx="9">
                  <c:v>0.10646655967893662</c:v>
                </c:pt>
                <c:pt idx="10">
                  <c:v>2.6901889522691499E-2</c:v>
                </c:pt>
                <c:pt idx="11">
                  <c:v>2.6780611311067268E-2</c:v>
                </c:pt>
                <c:pt idx="12">
                  <c:v>0.4345871292635648</c:v>
                </c:pt>
                <c:pt idx="13">
                  <c:v>0.20092930208914486</c:v>
                </c:pt>
                <c:pt idx="14">
                  <c:v>0.26763346916825126</c:v>
                </c:pt>
              </c:numCache>
            </c:numRef>
          </c:yVal>
          <c:smooth val="0"/>
          <c:extLst>
            <c:ext xmlns:c16="http://schemas.microsoft.com/office/drawing/2014/chart" uri="{C3380CC4-5D6E-409C-BE32-E72D297353CC}">
              <c16:uniqueId val="{0000000A-A234-754F-84FF-3226EB193667}"/>
            </c:ext>
          </c:extLst>
        </c:ser>
        <c:ser>
          <c:idx val="10"/>
          <c:order val="10"/>
          <c:tx>
            <c:strRef>
              <c:f>'Bar Graphs_1'!$AH$28</c:f>
              <c:strCache>
                <c:ptCount val="1"/>
                <c:pt idx="0">
                  <c:v>GFP 24h</c:v>
                </c:pt>
              </c:strCache>
            </c:strRef>
          </c:tx>
          <c:spPr>
            <a:ln w="25400">
              <a:noFill/>
            </a:ln>
          </c:spPr>
          <c:marker>
            <c:symbol val="circle"/>
            <c:size val="3"/>
            <c:spPr>
              <a:solidFill>
                <a:schemeClr val="bg1"/>
              </a:solidFill>
              <a:ln>
                <a:solidFill>
                  <a:schemeClr val="tx1"/>
                </a:solidFill>
              </a:ln>
            </c:spPr>
          </c:marker>
          <c:xVal>
            <c:numRef>
              <c:f>'Bar Graphs_1'!$AG$29:$AG$43</c:f>
              <c:numCache>
                <c:formatCode>General</c:formatCode>
                <c:ptCount val="15"/>
                <c:pt idx="0">
                  <c:v>5.6947000000000001</c:v>
                </c:pt>
                <c:pt idx="1">
                  <c:v>5.6947000000000001</c:v>
                </c:pt>
                <c:pt idx="2">
                  <c:v>5.6947000000000001</c:v>
                </c:pt>
                <c:pt idx="3">
                  <c:v>5.8479000000000001</c:v>
                </c:pt>
                <c:pt idx="4">
                  <c:v>5.8479000000000001</c:v>
                </c:pt>
                <c:pt idx="5">
                  <c:v>5.8479000000000001</c:v>
                </c:pt>
                <c:pt idx="6">
                  <c:v>6</c:v>
                </c:pt>
                <c:pt idx="7">
                  <c:v>6</c:v>
                </c:pt>
                <c:pt idx="8">
                  <c:v>6</c:v>
                </c:pt>
                <c:pt idx="9">
                  <c:v>6.157</c:v>
                </c:pt>
                <c:pt idx="10">
                  <c:v>6.157</c:v>
                </c:pt>
                <c:pt idx="11">
                  <c:v>6.157</c:v>
                </c:pt>
                <c:pt idx="12">
                  <c:v>6.3049999999999997</c:v>
                </c:pt>
                <c:pt idx="13">
                  <c:v>6.3049999999999997</c:v>
                </c:pt>
                <c:pt idx="14">
                  <c:v>6.3049999999999997</c:v>
                </c:pt>
              </c:numCache>
            </c:numRef>
          </c:xVal>
          <c:yVal>
            <c:numRef>
              <c:f>'Bar Graphs_1'!$AH$29:$AH$43</c:f>
              <c:numCache>
                <c:formatCode>General</c:formatCode>
                <c:ptCount val="15"/>
                <c:pt idx="0">
                  <c:v>0.35605176271569849</c:v>
                </c:pt>
                <c:pt idx="1">
                  <c:v>0.71031173355441313</c:v>
                </c:pt>
                <c:pt idx="2">
                  <c:v>0.50476947882741152</c:v>
                </c:pt>
                <c:pt idx="3">
                  <c:v>0.10088556770406254</c:v>
                </c:pt>
                <c:pt idx="4">
                  <c:v>0.22660639132566865</c:v>
                </c:pt>
                <c:pt idx="5">
                  <c:v>0.17303246880483028</c:v>
                </c:pt>
                <c:pt idx="6">
                  <c:v>1.1544473806070179</c:v>
                </c:pt>
                <c:pt idx="7">
                  <c:v>1.1888812952940768</c:v>
                </c:pt>
                <c:pt idx="8">
                  <c:v>1.1379667691170592</c:v>
                </c:pt>
                <c:pt idx="9">
                  <c:v>2.0542703207127788</c:v>
                </c:pt>
                <c:pt idx="10">
                  <c:v>2.0530443855219693</c:v>
                </c:pt>
                <c:pt idx="11">
                  <c:v>2.1999258501230425</c:v>
                </c:pt>
                <c:pt idx="12">
                  <c:v>2.0745043761510771</c:v>
                </c:pt>
                <c:pt idx="13">
                  <c:v>2.1159020414820411</c:v>
                </c:pt>
                <c:pt idx="14">
                  <c:v>1.8726527946682321</c:v>
                </c:pt>
              </c:numCache>
            </c:numRef>
          </c:yVal>
          <c:smooth val="0"/>
          <c:extLst>
            <c:ext xmlns:c16="http://schemas.microsoft.com/office/drawing/2014/chart" uri="{C3380CC4-5D6E-409C-BE32-E72D297353CC}">
              <c16:uniqueId val="{0000000B-A234-754F-84FF-3226EB193667}"/>
            </c:ext>
          </c:extLst>
        </c:ser>
        <c:dLbls>
          <c:showLegendKey val="0"/>
          <c:showVal val="0"/>
          <c:showCatName val="0"/>
          <c:showSerName val="0"/>
          <c:showPercent val="0"/>
          <c:showBubbleSize val="0"/>
        </c:dLbls>
        <c:axId val="493464512"/>
        <c:axId val="531495808"/>
      </c:scatterChart>
      <c:catAx>
        <c:axId val="493464512"/>
        <c:scaling>
          <c:orientation val="minMax"/>
        </c:scaling>
        <c:delete val="0"/>
        <c:axPos val="b"/>
        <c:numFmt formatCode="General" sourceLinked="1"/>
        <c:majorTickMark val="none"/>
        <c:minorTickMark val="out"/>
        <c:tickLblPos val="nextTo"/>
        <c:spPr>
          <a:ln w="12700">
            <a:solidFill>
              <a:schemeClr val="tx1"/>
            </a:solidFill>
          </a:ln>
        </c:spPr>
        <c:txPr>
          <a:bodyPr/>
          <a:lstStyle/>
          <a:p>
            <a:pPr>
              <a:defRPr sz="1000" b="1">
                <a:solidFill>
                  <a:schemeClr val="tx1"/>
                </a:solidFill>
                <a:latin typeface="Times New Roman" panose="02020603050405020304" pitchFamily="18" charset="0"/>
                <a:cs typeface="Times New Roman" panose="02020603050405020304" pitchFamily="18" charset="0"/>
              </a:defRPr>
            </a:pPr>
            <a:endParaRPr lang="en-US"/>
          </a:p>
        </c:txPr>
        <c:crossAx val="531495808"/>
        <c:crosses val="autoZero"/>
        <c:auto val="1"/>
        <c:lblAlgn val="ctr"/>
        <c:lblOffset val="100"/>
        <c:noMultiLvlLbl val="0"/>
      </c:catAx>
      <c:valAx>
        <c:axId val="531495808"/>
        <c:scaling>
          <c:orientation val="minMax"/>
        </c:scaling>
        <c:delete val="0"/>
        <c:axPos val="l"/>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1" i="1" u="none" strike="noStrike" kern="1200" baseline="0">
                    <a:solidFill>
                      <a:schemeClr val="tx1"/>
                    </a:solidFill>
                    <a:latin typeface="Times New Roman" panose="02020603050405020304" pitchFamily="18" charset="0"/>
                    <a:cs typeface="Times New Roman" panose="02020603050405020304" pitchFamily="18" charset="0"/>
                  </a:rPr>
                  <a:t> 2</a:t>
                </a:r>
                <a:r>
                  <a:rPr lang="en-US" sz="1100" b="1" i="1" u="none" strike="noStrike" kern="1200" baseline="30000">
                    <a:solidFill>
                      <a:schemeClr val="tx1"/>
                    </a:solidFill>
                    <a:latin typeface="Times New Roman" panose="02020603050405020304" pitchFamily="18" charset="0"/>
                    <a:cs typeface="Times New Roman" panose="02020603050405020304" pitchFamily="18" charset="0"/>
                  </a:rPr>
                  <a:t>-∆∆CT</a:t>
                </a:r>
              </a:p>
            </c:rich>
          </c:tx>
          <c:overlay val="0"/>
        </c:title>
        <c:numFmt formatCode="General" sourceLinked="1"/>
        <c:majorTickMark val="out"/>
        <c:minorTickMark val="none"/>
        <c:tickLblPos val="nextTo"/>
        <c:spPr>
          <a:ln w="12700">
            <a:solidFill>
              <a:schemeClr val="tx1"/>
            </a:solidFill>
          </a:ln>
        </c:spPr>
        <c:txPr>
          <a:bodyPr/>
          <a:lstStyle/>
          <a:p>
            <a:pPr>
              <a:defRPr sz="1000">
                <a:solidFill>
                  <a:schemeClr val="tx1"/>
                </a:solidFill>
                <a:latin typeface="Times New Roman" panose="02020603050405020304" pitchFamily="18" charset="0"/>
                <a:cs typeface="Times New Roman" panose="02020603050405020304" pitchFamily="18" charset="0"/>
              </a:defRPr>
            </a:pPr>
            <a:endParaRPr lang="en-US"/>
          </a:p>
        </c:txPr>
        <c:crossAx val="493464512"/>
        <c:crosses val="autoZero"/>
        <c:crossBetween val="between"/>
      </c:valAx>
    </c:plotArea>
    <c:legend>
      <c:legendPos val="r"/>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overlay val="0"/>
      <c:txPr>
        <a:bodyPr/>
        <a:lstStyle/>
        <a:p>
          <a:pPr>
            <a:defRPr sz="1000">
              <a:solidFill>
                <a:schemeClr val="tx1"/>
              </a:solidFill>
              <a:latin typeface="Times New Roman" panose="02020603050405020304" pitchFamily="18" charset="0"/>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800" b="1">
                <a:solidFill>
                  <a:schemeClr val="tx1"/>
                </a:solidFill>
                <a:latin typeface="Times New Roman" panose="02020603050405020304" pitchFamily="18" charset="0"/>
                <a:cs typeface="Times New Roman" panose="02020603050405020304" pitchFamily="18" charset="0"/>
              </a:rPr>
              <a:t>All</a:t>
            </a:r>
            <a:r>
              <a:rPr lang="en-US" sz="1800" b="1" baseline="0">
                <a:solidFill>
                  <a:schemeClr val="tx1"/>
                </a:solidFill>
                <a:latin typeface="Times New Roman" panose="02020603050405020304" pitchFamily="18" charset="0"/>
                <a:cs typeface="Times New Roman" panose="02020603050405020304" pitchFamily="18" charset="0"/>
              </a:rPr>
              <a:t> Groups per Gene</a:t>
            </a:r>
            <a:endParaRPr lang="en-US" sz="18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'Bar Graphs_1'!$U$64</c:f>
              <c:strCache>
                <c:ptCount val="1"/>
                <c:pt idx="0">
                  <c:v>WT 24h</c:v>
                </c:pt>
              </c:strCache>
            </c:strRef>
          </c:tx>
          <c:spPr>
            <a:solidFill>
              <a:schemeClr val="tx1"/>
            </a:solidFill>
            <a:ln>
              <a:solidFill>
                <a:schemeClr val="tx1"/>
              </a:solidFill>
            </a:ln>
            <a:effectLst/>
          </c:spPr>
          <c:invertIfNegative val="0"/>
          <c:errBars>
            <c:errBarType val="both"/>
            <c:errValType val="cust"/>
            <c:noEndCap val="0"/>
            <c:plus>
              <c:numRef>
                <c:f>'Bar Graphs_1'!$AC$64:$AG$64</c:f>
                <c:numCache>
                  <c:formatCode>General</c:formatCode>
                  <c:ptCount val="5"/>
                  <c:pt idx="0">
                    <c:v>7.9383298111410747E-2</c:v>
                  </c:pt>
                  <c:pt idx="1">
                    <c:v>0.10369400687210692</c:v>
                  </c:pt>
                  <c:pt idx="2">
                    <c:v>8.2968365721510257E-2</c:v>
                  </c:pt>
                  <c:pt idx="3">
                    <c:v>0.21143866708147527</c:v>
                  </c:pt>
                  <c:pt idx="4">
                    <c:v>0.15605651889395658</c:v>
                  </c:pt>
                </c:numCache>
              </c:numRef>
            </c:plus>
            <c:minus>
              <c:numRef>
                <c:f>'Bar Graphs_1'!$AC$64:$AG$64</c:f>
                <c:numCache>
                  <c:formatCode>General</c:formatCode>
                  <c:ptCount val="5"/>
                  <c:pt idx="0">
                    <c:v>7.9383298111410747E-2</c:v>
                  </c:pt>
                  <c:pt idx="1">
                    <c:v>0.10369400687210692</c:v>
                  </c:pt>
                  <c:pt idx="2">
                    <c:v>8.2968365721510257E-2</c:v>
                  </c:pt>
                  <c:pt idx="3">
                    <c:v>0.21143866708147527</c:v>
                  </c:pt>
                  <c:pt idx="4">
                    <c:v>0.15605651889395658</c:v>
                  </c:pt>
                </c:numCache>
              </c:numRef>
            </c:minus>
            <c:spPr>
              <a:noFill/>
              <a:ln w="9525" cap="flat" cmpd="sng" algn="ctr">
                <a:solidFill>
                  <a:schemeClr val="tx1"/>
                </a:solidFill>
                <a:round/>
              </a:ln>
              <a:effectLst/>
            </c:spPr>
          </c:errBars>
          <c:cat>
            <c:strRef>
              <c:f>'Bar Graphs_1'!$V$63:$Z$63</c:f>
              <c:strCache>
                <c:ptCount val="5"/>
                <c:pt idx="0">
                  <c:v>nsP3</c:v>
                </c:pt>
                <c:pt idx="1">
                  <c:v>GFP</c:v>
                </c:pt>
                <c:pt idx="2">
                  <c:v>RIG1</c:v>
                </c:pt>
                <c:pt idx="3">
                  <c:v>MDA5</c:v>
                </c:pt>
                <c:pt idx="4">
                  <c:v>IFIT</c:v>
                </c:pt>
              </c:strCache>
            </c:strRef>
          </c:cat>
          <c:val>
            <c:numRef>
              <c:f>'Bar Graphs_1'!$V$64:$Z$64</c:f>
              <c:numCache>
                <c:formatCode>General</c:formatCode>
                <c:ptCount val="5"/>
                <c:pt idx="0">
                  <c:v>1.0021497682695211</c:v>
                </c:pt>
                <c:pt idx="1">
                  <c:v>1.0037239724479761</c:v>
                </c:pt>
                <c:pt idx="2">
                  <c:v>1.0022225443202852</c:v>
                </c:pt>
                <c:pt idx="3">
                  <c:v>1.0141265842032856</c:v>
                </c:pt>
                <c:pt idx="4">
                  <c:v>1.0078069386399011</c:v>
                </c:pt>
              </c:numCache>
            </c:numRef>
          </c:val>
          <c:extLst>
            <c:ext xmlns:c16="http://schemas.microsoft.com/office/drawing/2014/chart" uri="{C3380CC4-5D6E-409C-BE32-E72D297353CC}">
              <c16:uniqueId val="{00000000-D913-AE4B-96EA-80037105816D}"/>
            </c:ext>
          </c:extLst>
        </c:ser>
        <c:ser>
          <c:idx val="1"/>
          <c:order val="1"/>
          <c:tx>
            <c:strRef>
              <c:f>'Bar Graphs_1'!$U$65</c:f>
              <c:strCache>
                <c:ptCount val="1"/>
                <c:pt idx="0">
                  <c:v>Set 1 24h</c:v>
                </c:pt>
              </c:strCache>
            </c:strRef>
          </c:tx>
          <c:spPr>
            <a:pattFill prst="wdDnDiag">
              <a:fgClr>
                <a:srgbClr val="404040"/>
              </a:fgClr>
              <a:bgClr>
                <a:schemeClr val="bg1"/>
              </a:bgClr>
            </a:pattFill>
            <a:ln>
              <a:solidFill>
                <a:schemeClr val="tx1"/>
              </a:solidFill>
            </a:ln>
            <a:effectLst/>
          </c:spPr>
          <c:invertIfNegative val="0"/>
          <c:errBars>
            <c:errBarType val="both"/>
            <c:errValType val="cust"/>
            <c:noEndCap val="0"/>
            <c:plus>
              <c:numRef>
                <c:f>'Bar Graphs_1'!$AC$65:$AG$65</c:f>
                <c:numCache>
                  <c:formatCode>General</c:formatCode>
                  <c:ptCount val="5"/>
                  <c:pt idx="0">
                    <c:v>0.10908235537049071</c:v>
                  </c:pt>
                  <c:pt idx="1">
                    <c:v>0.21690839768847345</c:v>
                  </c:pt>
                  <c:pt idx="2">
                    <c:v>1.8962507789808226E-2</c:v>
                  </c:pt>
                  <c:pt idx="3">
                    <c:v>3.9558395467272002E-2</c:v>
                  </c:pt>
                  <c:pt idx="4">
                    <c:v>8.1462642184160522E-2</c:v>
                  </c:pt>
                </c:numCache>
              </c:numRef>
            </c:plus>
            <c:minus>
              <c:numRef>
                <c:f>'Bar Graphs_1'!$AC$65:$AG$65</c:f>
                <c:numCache>
                  <c:formatCode>General</c:formatCode>
                  <c:ptCount val="5"/>
                  <c:pt idx="0">
                    <c:v>0.10908235537049071</c:v>
                  </c:pt>
                  <c:pt idx="1">
                    <c:v>0.21690839768847345</c:v>
                  </c:pt>
                  <c:pt idx="2">
                    <c:v>1.8962507789808226E-2</c:v>
                  </c:pt>
                  <c:pt idx="3">
                    <c:v>3.9558395467272002E-2</c:v>
                  </c:pt>
                  <c:pt idx="4">
                    <c:v>8.1462642184160522E-2</c:v>
                  </c:pt>
                </c:numCache>
              </c:numRef>
            </c:minus>
            <c:spPr>
              <a:noFill/>
              <a:ln w="9525" cap="flat" cmpd="sng" algn="ctr">
                <a:solidFill>
                  <a:schemeClr val="tx1"/>
                </a:solidFill>
                <a:round/>
              </a:ln>
              <a:effectLst/>
            </c:spPr>
          </c:errBars>
          <c:cat>
            <c:strRef>
              <c:f>'Bar Graphs_1'!$V$63:$Z$63</c:f>
              <c:strCache>
                <c:ptCount val="5"/>
                <c:pt idx="0">
                  <c:v>nsP3</c:v>
                </c:pt>
                <c:pt idx="1">
                  <c:v>GFP</c:v>
                </c:pt>
                <c:pt idx="2">
                  <c:v>RIG1</c:v>
                </c:pt>
                <c:pt idx="3">
                  <c:v>MDA5</c:v>
                </c:pt>
                <c:pt idx="4">
                  <c:v>IFIT</c:v>
                </c:pt>
              </c:strCache>
            </c:strRef>
          </c:cat>
          <c:val>
            <c:numRef>
              <c:f>'Bar Graphs_1'!$V$65:$Z$65</c:f>
              <c:numCache>
                <c:formatCode>General</c:formatCode>
                <c:ptCount val="5"/>
                <c:pt idx="0">
                  <c:v>0.29051094043775477</c:v>
                </c:pt>
                <c:pt idx="1">
                  <c:v>0.45288131510533497</c:v>
                </c:pt>
                <c:pt idx="2">
                  <c:v>0.16694846771356711</c:v>
                </c:pt>
                <c:pt idx="3">
                  <c:v>0.10527145563470469</c:v>
                </c:pt>
                <c:pt idx="4">
                  <c:v>0.24685267379990419</c:v>
                </c:pt>
              </c:numCache>
            </c:numRef>
          </c:val>
          <c:extLst>
            <c:ext xmlns:c16="http://schemas.microsoft.com/office/drawing/2014/chart" uri="{C3380CC4-5D6E-409C-BE32-E72D297353CC}">
              <c16:uniqueId val="{00000001-D913-AE4B-96EA-80037105816D}"/>
            </c:ext>
          </c:extLst>
        </c:ser>
        <c:ser>
          <c:idx val="2"/>
          <c:order val="2"/>
          <c:tx>
            <c:strRef>
              <c:f>'Bar Graphs_1'!$U$66</c:f>
              <c:strCache>
                <c:ptCount val="1"/>
                <c:pt idx="0">
                  <c:v>Set 2 24h</c:v>
                </c:pt>
              </c:strCache>
            </c:strRef>
          </c:tx>
          <c:spPr>
            <a:solidFill>
              <a:srgbClr val="808080"/>
            </a:solidFill>
            <a:ln>
              <a:solidFill>
                <a:schemeClr val="tx1"/>
              </a:solidFill>
            </a:ln>
            <a:effectLst/>
          </c:spPr>
          <c:invertIfNegative val="0"/>
          <c:errBars>
            <c:errBarType val="both"/>
            <c:errValType val="cust"/>
            <c:noEndCap val="0"/>
            <c:plus>
              <c:numRef>
                <c:f>'Bar Graphs_1'!$AC$66:$AG$66</c:f>
                <c:numCache>
                  <c:formatCode>General</c:formatCode>
                  <c:ptCount val="5"/>
                  <c:pt idx="0">
                    <c:v>5.9137460738786132E-2</c:v>
                  </c:pt>
                  <c:pt idx="1">
                    <c:v>8.0149349843110732E-3</c:v>
                  </c:pt>
                  <c:pt idx="2">
                    <c:v>1.4103057952578957E-2</c:v>
                  </c:pt>
                  <c:pt idx="3">
                    <c:v>4.1113971217373708E-2</c:v>
                  </c:pt>
                  <c:pt idx="4">
                    <c:v>0.12478129778287836</c:v>
                  </c:pt>
                </c:numCache>
              </c:numRef>
            </c:plus>
            <c:minus>
              <c:numRef>
                <c:f>'Bar Graphs_1'!$AC$66:$AG$66</c:f>
                <c:numCache>
                  <c:formatCode>General</c:formatCode>
                  <c:ptCount val="5"/>
                  <c:pt idx="0">
                    <c:v>5.9137460738786132E-2</c:v>
                  </c:pt>
                  <c:pt idx="1">
                    <c:v>8.0149349843110732E-3</c:v>
                  </c:pt>
                  <c:pt idx="2">
                    <c:v>1.4103057952578957E-2</c:v>
                  </c:pt>
                  <c:pt idx="3">
                    <c:v>4.1113971217373708E-2</c:v>
                  </c:pt>
                  <c:pt idx="4">
                    <c:v>0.12478129778287836</c:v>
                  </c:pt>
                </c:numCache>
              </c:numRef>
            </c:minus>
            <c:spPr>
              <a:noFill/>
              <a:ln w="9525" cap="flat" cmpd="sng" algn="ctr">
                <a:solidFill>
                  <a:schemeClr val="tx1"/>
                </a:solidFill>
                <a:round/>
              </a:ln>
              <a:effectLst/>
            </c:spPr>
          </c:errBars>
          <c:cat>
            <c:strRef>
              <c:f>'Bar Graphs_1'!$V$63:$Z$63</c:f>
              <c:strCache>
                <c:ptCount val="5"/>
                <c:pt idx="0">
                  <c:v>nsP3</c:v>
                </c:pt>
                <c:pt idx="1">
                  <c:v>GFP</c:v>
                </c:pt>
                <c:pt idx="2">
                  <c:v>RIG1</c:v>
                </c:pt>
                <c:pt idx="3">
                  <c:v>MDA5</c:v>
                </c:pt>
                <c:pt idx="4">
                  <c:v>IFIT</c:v>
                </c:pt>
              </c:strCache>
            </c:strRef>
          </c:cat>
          <c:val>
            <c:numRef>
              <c:f>'Bar Graphs_1'!$V$66:$Z$66</c:f>
              <c:numCache>
                <c:formatCode>General</c:formatCode>
                <c:ptCount val="5"/>
                <c:pt idx="0">
                  <c:v>0.21683656131545803</c:v>
                </c:pt>
                <c:pt idx="1">
                  <c:v>0.31368926703737471</c:v>
                </c:pt>
                <c:pt idx="2">
                  <c:v>0.20795825419615699</c:v>
                </c:pt>
                <c:pt idx="3">
                  <c:v>0.28758416938531267</c:v>
                </c:pt>
                <c:pt idx="4">
                  <c:v>0.60513266257053122</c:v>
                </c:pt>
              </c:numCache>
            </c:numRef>
          </c:val>
          <c:extLst>
            <c:ext xmlns:c16="http://schemas.microsoft.com/office/drawing/2014/chart" uri="{C3380CC4-5D6E-409C-BE32-E72D297353CC}">
              <c16:uniqueId val="{00000002-D913-AE4B-96EA-80037105816D}"/>
            </c:ext>
          </c:extLst>
        </c:ser>
        <c:ser>
          <c:idx val="3"/>
          <c:order val="3"/>
          <c:tx>
            <c:strRef>
              <c:f>'Bar Graphs_1'!$U$67</c:f>
              <c:strCache>
                <c:ptCount val="1"/>
                <c:pt idx="0">
                  <c:v>Set 4 24h</c:v>
                </c:pt>
              </c:strCache>
            </c:strRef>
          </c:tx>
          <c:spPr>
            <a:pattFill prst="pct50">
              <a:fgClr>
                <a:srgbClr val="BFBFBF"/>
              </a:fgClr>
              <a:bgClr>
                <a:schemeClr val="bg1"/>
              </a:bgClr>
            </a:pattFill>
            <a:ln>
              <a:solidFill>
                <a:schemeClr val="tx1"/>
              </a:solidFill>
            </a:ln>
            <a:effectLst/>
          </c:spPr>
          <c:invertIfNegative val="0"/>
          <c:errBars>
            <c:errBarType val="both"/>
            <c:errValType val="cust"/>
            <c:noEndCap val="0"/>
            <c:plus>
              <c:numRef>
                <c:f>'Bar Graphs_1'!$AC$67:$AG$67</c:f>
                <c:numCache>
                  <c:formatCode>General</c:formatCode>
                  <c:ptCount val="5"/>
                  <c:pt idx="0">
                    <c:v>2.3665158557088593E-2</c:v>
                  </c:pt>
                  <c:pt idx="1">
                    <c:v>5.3682216815091728E-2</c:v>
                  </c:pt>
                  <c:pt idx="2">
                    <c:v>3.9527591177183165E-2</c:v>
                  </c:pt>
                  <c:pt idx="3">
                    <c:v>1.2095650110098371E-2</c:v>
                  </c:pt>
                  <c:pt idx="4">
                    <c:v>0.11411621478252502</c:v>
                  </c:pt>
                </c:numCache>
              </c:numRef>
            </c:plus>
            <c:minus>
              <c:numRef>
                <c:f>'Bar Graphs_1'!$AC$67:$AG$67</c:f>
                <c:numCache>
                  <c:formatCode>General</c:formatCode>
                  <c:ptCount val="5"/>
                  <c:pt idx="0">
                    <c:v>2.3665158557088593E-2</c:v>
                  </c:pt>
                  <c:pt idx="1">
                    <c:v>5.3682216815091728E-2</c:v>
                  </c:pt>
                  <c:pt idx="2">
                    <c:v>3.9527591177183165E-2</c:v>
                  </c:pt>
                  <c:pt idx="3">
                    <c:v>1.2095650110098371E-2</c:v>
                  </c:pt>
                  <c:pt idx="4">
                    <c:v>0.11411621478252502</c:v>
                  </c:pt>
                </c:numCache>
              </c:numRef>
            </c:minus>
            <c:spPr>
              <a:noFill/>
              <a:ln w="9525" cap="flat" cmpd="sng" algn="ctr">
                <a:solidFill>
                  <a:schemeClr val="tx1"/>
                </a:solidFill>
                <a:round/>
              </a:ln>
              <a:effectLst/>
            </c:spPr>
          </c:errBars>
          <c:cat>
            <c:strRef>
              <c:f>'Bar Graphs_1'!$V$63:$Z$63</c:f>
              <c:strCache>
                <c:ptCount val="5"/>
                <c:pt idx="0">
                  <c:v>nsP3</c:v>
                </c:pt>
                <c:pt idx="1">
                  <c:v>GFP</c:v>
                </c:pt>
                <c:pt idx="2">
                  <c:v>RIG1</c:v>
                </c:pt>
                <c:pt idx="3">
                  <c:v>MDA5</c:v>
                </c:pt>
                <c:pt idx="4">
                  <c:v>IFIT</c:v>
                </c:pt>
              </c:strCache>
            </c:strRef>
          </c:cat>
          <c:val>
            <c:numRef>
              <c:f>'Bar Graphs_1'!$V$67:$Z$67</c:f>
              <c:numCache>
                <c:formatCode>General</c:formatCode>
                <c:ptCount val="5"/>
                <c:pt idx="0">
                  <c:v>0.21202650213859639</c:v>
                </c:pt>
                <c:pt idx="1">
                  <c:v>0.81987006953240948</c:v>
                </c:pt>
                <c:pt idx="2">
                  <c:v>0.17976850157185656</c:v>
                </c:pt>
                <c:pt idx="3">
                  <c:v>3.7186731496743737E-2</c:v>
                </c:pt>
                <c:pt idx="4">
                  <c:v>0.31041228947102278</c:v>
                </c:pt>
              </c:numCache>
            </c:numRef>
          </c:val>
          <c:extLst>
            <c:ext xmlns:c16="http://schemas.microsoft.com/office/drawing/2014/chart" uri="{C3380CC4-5D6E-409C-BE32-E72D297353CC}">
              <c16:uniqueId val="{00000003-D913-AE4B-96EA-80037105816D}"/>
            </c:ext>
          </c:extLst>
        </c:ser>
        <c:ser>
          <c:idx val="4"/>
          <c:order val="4"/>
          <c:tx>
            <c:strRef>
              <c:f>'Bar Graphs_1'!$U$68</c:f>
              <c:strCache>
                <c:ptCount val="1"/>
                <c:pt idx="0">
                  <c:v>Set 5 24h</c:v>
                </c:pt>
              </c:strCache>
            </c:strRef>
          </c:tx>
          <c:spPr>
            <a:solidFill>
              <a:schemeClr val="bg1"/>
            </a:solidFill>
            <a:ln>
              <a:solidFill>
                <a:schemeClr val="tx1"/>
              </a:solidFill>
            </a:ln>
            <a:effectLst/>
          </c:spPr>
          <c:invertIfNegative val="0"/>
          <c:errBars>
            <c:errBarType val="both"/>
            <c:errValType val="cust"/>
            <c:noEndCap val="0"/>
            <c:plus>
              <c:numRef>
                <c:f>'Bar Graphs_1'!$AC$68:$AG$68</c:f>
                <c:numCache>
                  <c:formatCode>General</c:formatCode>
                  <c:ptCount val="5"/>
                  <c:pt idx="0">
                    <c:v>0.16437716451521414</c:v>
                  </c:pt>
                  <c:pt idx="1">
                    <c:v>0.67235077653351372</c:v>
                  </c:pt>
                  <c:pt idx="2">
                    <c:v>0.1829460303106627</c:v>
                  </c:pt>
                  <c:pt idx="3">
                    <c:v>4.5971733729839245E-2</c:v>
                  </c:pt>
                  <c:pt idx="4">
                    <c:v>0.12035984291892513</c:v>
                  </c:pt>
                </c:numCache>
              </c:numRef>
            </c:plus>
            <c:minus>
              <c:numRef>
                <c:f>'Bar Graphs_1'!$AC$68:$AG$68</c:f>
                <c:numCache>
                  <c:formatCode>General</c:formatCode>
                  <c:ptCount val="5"/>
                  <c:pt idx="0">
                    <c:v>0.16437716451521414</c:v>
                  </c:pt>
                  <c:pt idx="1">
                    <c:v>0.67235077653351372</c:v>
                  </c:pt>
                  <c:pt idx="2">
                    <c:v>0.1829460303106627</c:v>
                  </c:pt>
                  <c:pt idx="3">
                    <c:v>4.5971733729839245E-2</c:v>
                  </c:pt>
                  <c:pt idx="4">
                    <c:v>0.12035984291892513</c:v>
                  </c:pt>
                </c:numCache>
              </c:numRef>
            </c:minus>
            <c:spPr>
              <a:noFill/>
              <a:ln w="9525" cap="flat" cmpd="sng" algn="ctr">
                <a:solidFill>
                  <a:schemeClr val="tx1"/>
                </a:solidFill>
                <a:round/>
              </a:ln>
              <a:effectLst/>
            </c:spPr>
          </c:errBars>
          <c:cat>
            <c:strRef>
              <c:f>'Bar Graphs_1'!$V$63:$Z$63</c:f>
              <c:strCache>
                <c:ptCount val="5"/>
                <c:pt idx="0">
                  <c:v>nsP3</c:v>
                </c:pt>
                <c:pt idx="1">
                  <c:v>GFP</c:v>
                </c:pt>
                <c:pt idx="2">
                  <c:v>RIG1</c:v>
                </c:pt>
                <c:pt idx="3">
                  <c:v>MDA5</c:v>
                </c:pt>
                <c:pt idx="4">
                  <c:v>IFIT</c:v>
                </c:pt>
              </c:strCache>
            </c:strRef>
          </c:cat>
          <c:val>
            <c:numRef>
              <c:f>'Bar Graphs_1'!$V$68:$Z$68</c:f>
              <c:numCache>
                <c:formatCode>General</c:formatCode>
                <c:ptCount val="5"/>
                <c:pt idx="0">
                  <c:v>0.58245147044502021</c:v>
                </c:pt>
                <c:pt idx="1">
                  <c:v>1.0299547829501032</c:v>
                </c:pt>
                <c:pt idx="2">
                  <c:v>0.33544116233186988</c:v>
                </c:pt>
                <c:pt idx="3">
                  <c:v>5.3383020170898458E-2</c:v>
                </c:pt>
                <c:pt idx="4">
                  <c:v>0.30104996684032032</c:v>
                </c:pt>
              </c:numCache>
            </c:numRef>
          </c:val>
          <c:extLst>
            <c:ext xmlns:c16="http://schemas.microsoft.com/office/drawing/2014/chart" uri="{C3380CC4-5D6E-409C-BE32-E72D297353CC}">
              <c16:uniqueId val="{00000005-D913-AE4B-96EA-80037105816D}"/>
            </c:ext>
          </c:extLst>
        </c:ser>
        <c:ser>
          <c:idx val="5"/>
          <c:order val="5"/>
          <c:tx>
            <c:strRef>
              <c:f>'Bar Graphs_1'!$U$69</c:f>
              <c:strCache>
                <c:ptCount val="1"/>
                <c:pt idx="0">
                  <c:v>GFP 24h</c:v>
                </c:pt>
              </c:strCache>
            </c:strRef>
          </c:tx>
          <c:spPr>
            <a:pattFill prst="wdDnDiag">
              <a:fgClr>
                <a:schemeClr val="bg1"/>
              </a:fgClr>
              <a:bgClr>
                <a:schemeClr val="tx1"/>
              </a:bgClr>
            </a:pattFill>
            <a:ln>
              <a:solidFill>
                <a:schemeClr val="tx1"/>
              </a:solidFill>
            </a:ln>
            <a:effectLst/>
          </c:spPr>
          <c:invertIfNegative val="0"/>
          <c:errBars>
            <c:errBarType val="both"/>
            <c:errValType val="cust"/>
            <c:noEndCap val="0"/>
            <c:plus>
              <c:numRef>
                <c:f>'Bar Graphs_1'!$AC$69:$AG$69</c:f>
                <c:numCache>
                  <c:formatCode>General</c:formatCode>
                  <c:ptCount val="5"/>
                  <c:pt idx="0">
                    <c:v>0.17788793499578642</c:v>
                  </c:pt>
                  <c:pt idx="1">
                    <c:v>6.3088649275982789E-2</c:v>
                  </c:pt>
                  <c:pt idx="2">
                    <c:v>2.5979459872460864E-2</c:v>
                  </c:pt>
                  <c:pt idx="3">
                    <c:v>8.4450380705903855E-2</c:v>
                  </c:pt>
                  <c:pt idx="4">
                    <c:v>0.13014608696734187</c:v>
                  </c:pt>
                </c:numCache>
              </c:numRef>
            </c:plus>
            <c:minus>
              <c:numRef>
                <c:f>'Bar Graphs_1'!$AC$69:$AG$69</c:f>
                <c:numCache>
                  <c:formatCode>General</c:formatCode>
                  <c:ptCount val="5"/>
                  <c:pt idx="0">
                    <c:v>0.17788793499578642</c:v>
                  </c:pt>
                  <c:pt idx="1">
                    <c:v>6.3088649275982789E-2</c:v>
                  </c:pt>
                  <c:pt idx="2">
                    <c:v>2.5979459872460864E-2</c:v>
                  </c:pt>
                  <c:pt idx="3">
                    <c:v>8.4450380705903855E-2</c:v>
                  </c:pt>
                  <c:pt idx="4">
                    <c:v>0.13014608696734187</c:v>
                  </c:pt>
                </c:numCache>
              </c:numRef>
            </c:minus>
            <c:spPr>
              <a:noFill/>
              <a:ln w="9525" cap="flat" cmpd="sng" algn="ctr">
                <a:solidFill>
                  <a:schemeClr val="tx1"/>
                </a:solidFill>
                <a:round/>
              </a:ln>
              <a:effectLst/>
            </c:spPr>
          </c:errBars>
          <c:cat>
            <c:strRef>
              <c:f>'Bar Graphs_1'!$V$63:$Z$63</c:f>
              <c:strCache>
                <c:ptCount val="5"/>
                <c:pt idx="0">
                  <c:v>nsP3</c:v>
                </c:pt>
                <c:pt idx="1">
                  <c:v>GFP</c:v>
                </c:pt>
                <c:pt idx="2">
                  <c:v>RIG1</c:v>
                </c:pt>
                <c:pt idx="3">
                  <c:v>MDA5</c:v>
                </c:pt>
                <c:pt idx="4">
                  <c:v>IFIT</c:v>
                </c:pt>
              </c:strCache>
            </c:strRef>
          </c:cat>
          <c:val>
            <c:numRef>
              <c:f>'Bar Graphs_1'!$V$69:$Z$69</c:f>
              <c:numCache>
                <c:formatCode>General</c:formatCode>
                <c:ptCount val="5"/>
                <c:pt idx="0">
                  <c:v>0.52371099169917434</c:v>
                </c:pt>
                <c:pt idx="1">
                  <c:v>0.1668414759448538</c:v>
                </c:pt>
                <c:pt idx="2">
                  <c:v>1.1604318150060513</c:v>
                </c:pt>
                <c:pt idx="3">
                  <c:v>2.1024135187859301</c:v>
                </c:pt>
                <c:pt idx="4">
                  <c:v>2.0210197374337837</c:v>
                </c:pt>
              </c:numCache>
            </c:numRef>
          </c:val>
          <c:extLst>
            <c:ext xmlns:c16="http://schemas.microsoft.com/office/drawing/2014/chart" uri="{C3380CC4-5D6E-409C-BE32-E72D297353CC}">
              <c16:uniqueId val="{00000006-D913-AE4B-96EA-80037105816D}"/>
            </c:ext>
          </c:extLst>
        </c:ser>
        <c:dLbls>
          <c:showLegendKey val="0"/>
          <c:showVal val="0"/>
          <c:showCatName val="0"/>
          <c:showSerName val="0"/>
          <c:showPercent val="0"/>
          <c:showBubbleSize val="0"/>
        </c:dLbls>
        <c:gapWidth val="219"/>
        <c:overlap val="-27"/>
        <c:axId val="407920512"/>
        <c:axId val="407920960"/>
      </c:barChart>
      <c:scatterChart>
        <c:scatterStyle val="lineMarker"/>
        <c:varyColors val="0"/>
        <c:ser>
          <c:idx val="6"/>
          <c:order val="6"/>
          <c:tx>
            <c:strRef>
              <c:f>'Bar Graphs_1'!$W$74</c:f>
              <c:strCache>
                <c:ptCount val="1"/>
                <c:pt idx="0">
                  <c:v>nsP3</c:v>
                </c:pt>
              </c:strCache>
            </c:strRef>
          </c:tx>
          <c:spPr>
            <a:ln w="25400" cap="rnd">
              <a:noFill/>
              <a:round/>
            </a:ln>
            <a:effectLst/>
          </c:spPr>
          <c:marker>
            <c:symbol val="circle"/>
            <c:size val="3"/>
            <c:spPr>
              <a:solidFill>
                <a:schemeClr val="bg1"/>
              </a:solidFill>
              <a:ln w="9525">
                <a:solidFill>
                  <a:schemeClr val="tx1"/>
                </a:solidFill>
              </a:ln>
              <a:effectLst/>
            </c:spPr>
          </c:marker>
          <c:xVal>
            <c:numRef>
              <c:f>'Bar Graphs_1'!$V$75:$V$92</c:f>
              <c:numCache>
                <c:formatCode>General</c:formatCode>
                <c:ptCount val="18"/>
                <c:pt idx="0">
                  <c:v>0.66600000000000004</c:v>
                </c:pt>
                <c:pt idx="1">
                  <c:v>0.66600000000000004</c:v>
                </c:pt>
                <c:pt idx="2">
                  <c:v>0.66600000000000004</c:v>
                </c:pt>
                <c:pt idx="3">
                  <c:v>0.8</c:v>
                </c:pt>
                <c:pt idx="4">
                  <c:v>0.8</c:v>
                </c:pt>
                <c:pt idx="5">
                  <c:v>0.8</c:v>
                </c:pt>
                <c:pt idx="6">
                  <c:v>0.93</c:v>
                </c:pt>
                <c:pt idx="7">
                  <c:v>0.93</c:v>
                </c:pt>
                <c:pt idx="8">
                  <c:v>0.93</c:v>
                </c:pt>
                <c:pt idx="9">
                  <c:v>1.0649999999999999</c:v>
                </c:pt>
                <c:pt idx="10">
                  <c:v>1.0649999999999999</c:v>
                </c:pt>
                <c:pt idx="11">
                  <c:v>1.0649999999999999</c:v>
                </c:pt>
                <c:pt idx="12">
                  <c:v>1.2</c:v>
                </c:pt>
                <c:pt idx="13">
                  <c:v>1.2</c:v>
                </c:pt>
                <c:pt idx="14">
                  <c:v>1.2</c:v>
                </c:pt>
                <c:pt idx="15">
                  <c:v>1.335</c:v>
                </c:pt>
                <c:pt idx="16">
                  <c:v>1.335</c:v>
                </c:pt>
                <c:pt idx="17">
                  <c:v>1.335</c:v>
                </c:pt>
              </c:numCache>
            </c:numRef>
          </c:xVal>
          <c:yVal>
            <c:numRef>
              <c:f>'Bar Graphs_1'!$W$75:$W$92</c:f>
              <c:numCache>
                <c:formatCode>General</c:formatCode>
                <c:ptCount val="18"/>
                <c:pt idx="0">
                  <c:v>1.0649768848279992</c:v>
                </c:pt>
                <c:pt idx="1">
                  <c:v>1.0285399563027453</c:v>
                </c:pt>
                <c:pt idx="2">
                  <c:v>0.91293246367781822</c:v>
                </c:pt>
                <c:pt idx="3">
                  <c:v>0.41645960643024144</c:v>
                </c:pt>
                <c:pt idx="4">
                  <c:v>0.22882517416806944</c:v>
                </c:pt>
                <c:pt idx="5">
                  <c:v>0.22624804071495339</c:v>
                </c:pt>
                <c:pt idx="6">
                  <c:v>0.18184729533706392</c:v>
                </c:pt>
                <c:pt idx="7">
                  <c:v>0.28511556899167234</c:v>
                </c:pt>
                <c:pt idx="8">
                  <c:v>0.18354681961763783</c:v>
                </c:pt>
                <c:pt idx="9">
                  <c:v>0.20897491955851222</c:v>
                </c:pt>
                <c:pt idx="10">
                  <c:v>0.19003515898692047</c:v>
                </c:pt>
                <c:pt idx="11">
                  <c:v>0.23706942787035645</c:v>
                </c:pt>
                <c:pt idx="12">
                  <c:v>0.73749426602714252</c:v>
                </c:pt>
                <c:pt idx="13">
                  <c:v>0.59975175196635033</c:v>
                </c:pt>
                <c:pt idx="14">
                  <c:v>0.41010839334156768</c:v>
                </c:pt>
                <c:pt idx="15">
                  <c:v>0.35605176271569849</c:v>
                </c:pt>
                <c:pt idx="16">
                  <c:v>0.71031173355441313</c:v>
                </c:pt>
                <c:pt idx="17">
                  <c:v>0.50476947882741152</c:v>
                </c:pt>
              </c:numCache>
            </c:numRef>
          </c:yVal>
          <c:smooth val="0"/>
          <c:extLst>
            <c:ext xmlns:c16="http://schemas.microsoft.com/office/drawing/2014/chart" uri="{C3380CC4-5D6E-409C-BE32-E72D297353CC}">
              <c16:uniqueId val="{00000053-D913-AE4B-96EA-80037105816D}"/>
            </c:ext>
          </c:extLst>
        </c:ser>
        <c:ser>
          <c:idx val="7"/>
          <c:order val="7"/>
          <c:tx>
            <c:strRef>
              <c:f>'Bar Graphs_1'!$Y$74</c:f>
              <c:strCache>
                <c:ptCount val="1"/>
                <c:pt idx="0">
                  <c:v>GFP</c:v>
                </c:pt>
              </c:strCache>
            </c:strRef>
          </c:tx>
          <c:spPr>
            <a:ln w="25400" cap="rnd">
              <a:noFill/>
              <a:round/>
            </a:ln>
            <a:effectLst/>
          </c:spPr>
          <c:marker>
            <c:symbol val="circle"/>
            <c:size val="3"/>
            <c:spPr>
              <a:solidFill>
                <a:schemeClr val="bg1"/>
              </a:solidFill>
              <a:ln w="9525">
                <a:solidFill>
                  <a:schemeClr val="tx1"/>
                </a:solidFill>
              </a:ln>
              <a:effectLst/>
            </c:spPr>
          </c:marker>
          <c:xVal>
            <c:numRef>
              <c:f>'Bar Graphs_1'!$X$75:$X$92</c:f>
              <c:numCache>
                <c:formatCode>General</c:formatCode>
                <c:ptCount val="18"/>
                <c:pt idx="0">
                  <c:v>1.6659999999999999</c:v>
                </c:pt>
                <c:pt idx="1">
                  <c:v>1.6659999999999999</c:v>
                </c:pt>
                <c:pt idx="2">
                  <c:v>1.6659999999999999</c:v>
                </c:pt>
                <c:pt idx="3">
                  <c:v>1.8</c:v>
                </c:pt>
                <c:pt idx="4">
                  <c:v>1.8</c:v>
                </c:pt>
                <c:pt idx="5">
                  <c:v>1.8</c:v>
                </c:pt>
                <c:pt idx="6">
                  <c:v>1.9300000000000002</c:v>
                </c:pt>
                <c:pt idx="7">
                  <c:v>1.9300000000000002</c:v>
                </c:pt>
                <c:pt idx="8">
                  <c:v>1.9300000000000002</c:v>
                </c:pt>
                <c:pt idx="9">
                  <c:v>2.0649999999999999</c:v>
                </c:pt>
                <c:pt idx="10">
                  <c:v>2.0649999999999999</c:v>
                </c:pt>
                <c:pt idx="11">
                  <c:v>2.0649999999999999</c:v>
                </c:pt>
                <c:pt idx="12">
                  <c:v>2.2000000000000002</c:v>
                </c:pt>
                <c:pt idx="13">
                  <c:v>2.2000000000000002</c:v>
                </c:pt>
                <c:pt idx="14">
                  <c:v>2.2000000000000002</c:v>
                </c:pt>
                <c:pt idx="15">
                  <c:v>2.335</c:v>
                </c:pt>
                <c:pt idx="16">
                  <c:v>2.335</c:v>
                </c:pt>
                <c:pt idx="17">
                  <c:v>2.335</c:v>
                </c:pt>
              </c:numCache>
            </c:numRef>
          </c:xVal>
          <c:yVal>
            <c:numRef>
              <c:f>'Bar Graphs_1'!$Y$75:$Y$92</c:f>
              <c:numCache>
                <c:formatCode>General</c:formatCode>
                <c:ptCount val="18"/>
                <c:pt idx="0">
                  <c:v>1.0567590296487801</c:v>
                </c:pt>
                <c:pt idx="1">
                  <c:v>1.0701736912628501</c:v>
                </c:pt>
                <c:pt idx="2">
                  <c:v>0.88423919643229809</c:v>
                </c:pt>
                <c:pt idx="3">
                  <c:v>0.6936765560603535</c:v>
                </c:pt>
                <c:pt idx="4">
                  <c:v>0.27279708023362575</c:v>
                </c:pt>
                <c:pt idx="5">
                  <c:v>0.39217030902202554</c:v>
                </c:pt>
                <c:pt idx="6">
                  <c:v>0.30950712517343493</c:v>
                </c:pt>
                <c:pt idx="7">
                  <c:v>0.32293026453366291</c:v>
                </c:pt>
                <c:pt idx="8">
                  <c:v>0.30863041140502617</c:v>
                </c:pt>
                <c:pt idx="9">
                  <c:v>0.83292122784334754</c:v>
                </c:pt>
                <c:pt idx="10">
                  <c:v>0.86582335138058319</c:v>
                </c:pt>
                <c:pt idx="11">
                  <c:v>0.76086562937329794</c:v>
                </c:pt>
                <c:pt idx="12">
                  <c:v>1.8018019406838788</c:v>
                </c:pt>
                <c:pt idx="13">
                  <c:v>0.71645040408527227</c:v>
                </c:pt>
                <c:pt idx="14">
                  <c:v>0.57161200408115909</c:v>
                </c:pt>
                <c:pt idx="15">
                  <c:v>0.10088556770406254</c:v>
                </c:pt>
                <c:pt idx="16">
                  <c:v>0.22660639132566865</c:v>
                </c:pt>
                <c:pt idx="17">
                  <c:v>0.17303246880483028</c:v>
                </c:pt>
              </c:numCache>
            </c:numRef>
          </c:yVal>
          <c:smooth val="0"/>
          <c:extLst>
            <c:ext xmlns:c16="http://schemas.microsoft.com/office/drawing/2014/chart" uri="{C3380CC4-5D6E-409C-BE32-E72D297353CC}">
              <c16:uniqueId val="{0000005C-D913-AE4B-96EA-80037105816D}"/>
            </c:ext>
          </c:extLst>
        </c:ser>
        <c:ser>
          <c:idx val="8"/>
          <c:order val="8"/>
          <c:tx>
            <c:strRef>
              <c:f>'Bar Graphs_1'!$AA$74</c:f>
              <c:strCache>
                <c:ptCount val="1"/>
                <c:pt idx="0">
                  <c:v>RIG1</c:v>
                </c:pt>
              </c:strCache>
            </c:strRef>
          </c:tx>
          <c:spPr>
            <a:ln w="25400" cap="rnd">
              <a:noFill/>
              <a:round/>
            </a:ln>
            <a:effectLst/>
          </c:spPr>
          <c:marker>
            <c:symbol val="circle"/>
            <c:size val="3"/>
            <c:spPr>
              <a:solidFill>
                <a:schemeClr val="bg1"/>
              </a:solidFill>
              <a:ln w="9525">
                <a:solidFill>
                  <a:schemeClr val="tx1"/>
                </a:solidFill>
              </a:ln>
              <a:effectLst/>
            </c:spPr>
          </c:marker>
          <c:xVal>
            <c:numRef>
              <c:f>'Bar Graphs_1'!$Z$75:$Z$92</c:f>
              <c:numCache>
                <c:formatCode>General</c:formatCode>
                <c:ptCount val="18"/>
                <c:pt idx="0">
                  <c:v>2.6659999999999999</c:v>
                </c:pt>
                <c:pt idx="1">
                  <c:v>2.6659999999999999</c:v>
                </c:pt>
                <c:pt idx="2">
                  <c:v>2.6659999999999999</c:v>
                </c:pt>
                <c:pt idx="3">
                  <c:v>2.8</c:v>
                </c:pt>
                <c:pt idx="4">
                  <c:v>2.8</c:v>
                </c:pt>
                <c:pt idx="5">
                  <c:v>2.8</c:v>
                </c:pt>
                <c:pt idx="6">
                  <c:v>2.93</c:v>
                </c:pt>
                <c:pt idx="7">
                  <c:v>2.93</c:v>
                </c:pt>
                <c:pt idx="8">
                  <c:v>2.93</c:v>
                </c:pt>
                <c:pt idx="9">
                  <c:v>3.0649999999999999</c:v>
                </c:pt>
                <c:pt idx="10">
                  <c:v>3.0649999999999999</c:v>
                </c:pt>
                <c:pt idx="11">
                  <c:v>3.0649999999999999</c:v>
                </c:pt>
                <c:pt idx="12">
                  <c:v>3.2</c:v>
                </c:pt>
                <c:pt idx="13">
                  <c:v>3.2</c:v>
                </c:pt>
                <c:pt idx="14">
                  <c:v>3.2</c:v>
                </c:pt>
                <c:pt idx="15">
                  <c:v>3.335</c:v>
                </c:pt>
                <c:pt idx="16">
                  <c:v>3.335</c:v>
                </c:pt>
                <c:pt idx="17">
                  <c:v>3.335</c:v>
                </c:pt>
              </c:numCache>
            </c:numRef>
          </c:xVal>
          <c:yVal>
            <c:numRef>
              <c:f>'Bar Graphs_1'!$AA$75:$AA$92</c:f>
              <c:numCache>
                <c:formatCode>General</c:formatCode>
                <c:ptCount val="18"/>
                <c:pt idx="0">
                  <c:v>0.95915336143878294</c:v>
                </c:pt>
                <c:pt idx="1">
                  <c:v>1.097868766595461</c:v>
                </c:pt>
                <c:pt idx="2">
                  <c:v>0.94964550492661126</c:v>
                </c:pt>
                <c:pt idx="3">
                  <c:v>0.17263368756432385</c:v>
                </c:pt>
                <c:pt idx="4">
                  <c:v>0.14579369221131175</c:v>
                </c:pt>
                <c:pt idx="5">
                  <c:v>0.18241802336506574</c:v>
                </c:pt>
                <c:pt idx="6">
                  <c:v>0.203634806630802</c:v>
                </c:pt>
                <c:pt idx="7">
                  <c:v>0.19652302631767085</c:v>
                </c:pt>
                <c:pt idx="8">
                  <c:v>0.22371692963999809</c:v>
                </c:pt>
                <c:pt idx="9">
                  <c:v>0.15618700662081381</c:v>
                </c:pt>
                <c:pt idx="10">
                  <c:v>0.22540249484585298</c:v>
                </c:pt>
                <c:pt idx="11">
                  <c:v>0.15771600324890289</c:v>
                </c:pt>
                <c:pt idx="12">
                  <c:v>0.54603343857545172</c:v>
                </c:pt>
                <c:pt idx="13">
                  <c:v>0.21574294462620933</c:v>
                </c:pt>
                <c:pt idx="14">
                  <c:v>0.24454710379394859</c:v>
                </c:pt>
                <c:pt idx="15">
                  <c:v>1.1544473806070179</c:v>
                </c:pt>
                <c:pt idx="16">
                  <c:v>1.1888812952940768</c:v>
                </c:pt>
                <c:pt idx="17">
                  <c:v>1.1379667691170592</c:v>
                </c:pt>
              </c:numCache>
            </c:numRef>
          </c:yVal>
          <c:smooth val="0"/>
          <c:extLst>
            <c:ext xmlns:c16="http://schemas.microsoft.com/office/drawing/2014/chart" uri="{C3380CC4-5D6E-409C-BE32-E72D297353CC}">
              <c16:uniqueId val="{0000005D-D913-AE4B-96EA-80037105816D}"/>
            </c:ext>
          </c:extLst>
        </c:ser>
        <c:ser>
          <c:idx val="9"/>
          <c:order val="9"/>
          <c:tx>
            <c:strRef>
              <c:f>'Bar Graphs_1'!$AC$74</c:f>
              <c:strCache>
                <c:ptCount val="1"/>
                <c:pt idx="0">
                  <c:v>MDA5</c:v>
                </c:pt>
              </c:strCache>
            </c:strRef>
          </c:tx>
          <c:spPr>
            <a:ln w="25400" cap="rnd">
              <a:noFill/>
              <a:round/>
            </a:ln>
            <a:effectLst/>
          </c:spPr>
          <c:marker>
            <c:symbol val="circle"/>
            <c:size val="3"/>
            <c:spPr>
              <a:solidFill>
                <a:schemeClr val="bg1"/>
              </a:solidFill>
              <a:ln w="9525">
                <a:solidFill>
                  <a:schemeClr val="tx1"/>
                </a:solidFill>
              </a:ln>
              <a:effectLst/>
            </c:spPr>
          </c:marker>
          <c:xVal>
            <c:numRef>
              <c:f>'Bar Graphs_1'!$AB$75:$AB$92</c:f>
              <c:numCache>
                <c:formatCode>General</c:formatCode>
                <c:ptCount val="18"/>
                <c:pt idx="0">
                  <c:v>3.6659999999999999</c:v>
                </c:pt>
                <c:pt idx="1">
                  <c:v>3.6659999999999999</c:v>
                </c:pt>
                <c:pt idx="2">
                  <c:v>3.6659999999999999</c:v>
                </c:pt>
                <c:pt idx="3">
                  <c:v>3.8</c:v>
                </c:pt>
                <c:pt idx="4">
                  <c:v>3.8</c:v>
                </c:pt>
                <c:pt idx="5">
                  <c:v>3.8</c:v>
                </c:pt>
                <c:pt idx="6">
                  <c:v>3.93</c:v>
                </c:pt>
                <c:pt idx="7">
                  <c:v>3.93</c:v>
                </c:pt>
                <c:pt idx="8">
                  <c:v>3.93</c:v>
                </c:pt>
                <c:pt idx="9">
                  <c:v>4.0649999999999995</c:v>
                </c:pt>
                <c:pt idx="10">
                  <c:v>4.0649999999999995</c:v>
                </c:pt>
                <c:pt idx="11">
                  <c:v>4.0649999999999995</c:v>
                </c:pt>
                <c:pt idx="12">
                  <c:v>4.2</c:v>
                </c:pt>
                <c:pt idx="13">
                  <c:v>4.2</c:v>
                </c:pt>
                <c:pt idx="14">
                  <c:v>4.2</c:v>
                </c:pt>
                <c:pt idx="15">
                  <c:v>4.335</c:v>
                </c:pt>
                <c:pt idx="16">
                  <c:v>4.335</c:v>
                </c:pt>
                <c:pt idx="17">
                  <c:v>4.335</c:v>
                </c:pt>
              </c:numCache>
            </c:numRef>
          </c:xVal>
          <c:yVal>
            <c:numRef>
              <c:f>'Bar Graphs_1'!$AC$75:$AC$92</c:f>
              <c:numCache>
                <c:formatCode>General</c:formatCode>
                <c:ptCount val="18"/>
                <c:pt idx="0">
                  <c:v>0.95731126495480512</c:v>
                </c:pt>
                <c:pt idx="1">
                  <c:v>1.2481682015320135</c:v>
                </c:pt>
                <c:pt idx="2">
                  <c:v>0.83690028612303802</c:v>
                </c:pt>
                <c:pt idx="3">
                  <c:v>0.13073718193499692</c:v>
                </c:pt>
                <c:pt idx="4">
                  <c:v>0.12537895240865263</c:v>
                </c:pt>
                <c:pt idx="5">
                  <c:v>5.9698232560464519E-2</c:v>
                </c:pt>
                <c:pt idx="6">
                  <c:v>0.27739609685027516</c:v>
                </c:pt>
                <c:pt idx="7">
                  <c:v>0.33283428878825</c:v>
                </c:pt>
                <c:pt idx="8">
                  <c:v>0.25252212251741291</c:v>
                </c:pt>
                <c:pt idx="9">
                  <c:v>5.0831043712823501E-2</c:v>
                </c:pt>
                <c:pt idx="10">
                  <c:v>2.7780139338319788E-2</c:v>
                </c:pt>
                <c:pt idx="11">
                  <c:v>3.2949011439087919E-2</c:v>
                </c:pt>
                <c:pt idx="12">
                  <c:v>0.10646655967893662</c:v>
                </c:pt>
                <c:pt idx="13">
                  <c:v>2.6901889522691499E-2</c:v>
                </c:pt>
                <c:pt idx="14">
                  <c:v>2.6780611311067268E-2</c:v>
                </c:pt>
                <c:pt idx="15">
                  <c:v>2.0542703207127788</c:v>
                </c:pt>
                <c:pt idx="16">
                  <c:v>2.0530443855219693</c:v>
                </c:pt>
                <c:pt idx="17">
                  <c:v>2.1999258501230425</c:v>
                </c:pt>
              </c:numCache>
            </c:numRef>
          </c:yVal>
          <c:smooth val="0"/>
          <c:extLst>
            <c:ext xmlns:c16="http://schemas.microsoft.com/office/drawing/2014/chart" uri="{C3380CC4-5D6E-409C-BE32-E72D297353CC}">
              <c16:uniqueId val="{0000005E-D913-AE4B-96EA-80037105816D}"/>
            </c:ext>
          </c:extLst>
        </c:ser>
        <c:ser>
          <c:idx val="10"/>
          <c:order val="10"/>
          <c:tx>
            <c:strRef>
              <c:f>'Bar Graphs_1'!$AE$74</c:f>
              <c:strCache>
                <c:ptCount val="1"/>
                <c:pt idx="0">
                  <c:v>IFIT</c:v>
                </c:pt>
              </c:strCache>
            </c:strRef>
          </c:tx>
          <c:spPr>
            <a:ln w="25400" cap="rnd">
              <a:noFill/>
              <a:round/>
            </a:ln>
            <a:effectLst/>
          </c:spPr>
          <c:marker>
            <c:symbol val="circle"/>
            <c:size val="3"/>
            <c:spPr>
              <a:solidFill>
                <a:schemeClr val="bg1"/>
              </a:solidFill>
              <a:ln w="9525">
                <a:solidFill>
                  <a:schemeClr val="tx1"/>
                </a:solidFill>
              </a:ln>
              <a:effectLst/>
            </c:spPr>
          </c:marker>
          <c:xVal>
            <c:numRef>
              <c:f>'Bar Graphs_1'!$AD$75:$AD$92</c:f>
              <c:numCache>
                <c:formatCode>General</c:formatCode>
                <c:ptCount val="18"/>
                <c:pt idx="0">
                  <c:v>4.6660000000000004</c:v>
                </c:pt>
                <c:pt idx="1">
                  <c:v>4.6660000000000004</c:v>
                </c:pt>
                <c:pt idx="2">
                  <c:v>4.6660000000000004</c:v>
                </c:pt>
                <c:pt idx="3">
                  <c:v>4.8</c:v>
                </c:pt>
                <c:pt idx="4">
                  <c:v>4.8</c:v>
                </c:pt>
                <c:pt idx="5">
                  <c:v>4.8</c:v>
                </c:pt>
                <c:pt idx="6">
                  <c:v>4.93</c:v>
                </c:pt>
                <c:pt idx="7">
                  <c:v>4.93</c:v>
                </c:pt>
                <c:pt idx="8">
                  <c:v>4.93</c:v>
                </c:pt>
                <c:pt idx="9">
                  <c:v>5.0649999999999995</c:v>
                </c:pt>
                <c:pt idx="10">
                  <c:v>5.0649999999999995</c:v>
                </c:pt>
                <c:pt idx="11">
                  <c:v>5.0649999999999995</c:v>
                </c:pt>
                <c:pt idx="12">
                  <c:v>5.2</c:v>
                </c:pt>
                <c:pt idx="13">
                  <c:v>5.2</c:v>
                </c:pt>
                <c:pt idx="14">
                  <c:v>5.2</c:v>
                </c:pt>
                <c:pt idx="15">
                  <c:v>5.335</c:v>
                </c:pt>
                <c:pt idx="16">
                  <c:v>5.335</c:v>
                </c:pt>
                <c:pt idx="17">
                  <c:v>5.335</c:v>
                </c:pt>
              </c:numCache>
            </c:numRef>
          </c:xVal>
          <c:yVal>
            <c:numRef>
              <c:f>'Bar Graphs_1'!$AE$75:$AE$92</c:f>
              <c:numCache>
                <c:formatCode>General</c:formatCode>
                <c:ptCount val="18"/>
                <c:pt idx="0">
                  <c:v>0.87671095373194685</c:v>
                </c:pt>
                <c:pt idx="1">
                  <c:v>1.1804250910127834</c:v>
                </c:pt>
                <c:pt idx="2">
                  <c:v>0.96628477117497291</c:v>
                </c:pt>
                <c:pt idx="3">
                  <c:v>0.22329540952965868</c:v>
                </c:pt>
                <c:pt idx="4">
                  <c:v>0.33749798804287862</c:v>
                </c:pt>
                <c:pt idx="5">
                  <c:v>0.17976462382717531</c:v>
                </c:pt>
                <c:pt idx="6">
                  <c:v>0.50860096620486972</c:v>
                </c:pt>
                <c:pt idx="7">
                  <c:v>0.74603541470613477</c:v>
                </c:pt>
                <c:pt idx="8">
                  <c:v>0.56076160680058895</c:v>
                </c:pt>
                <c:pt idx="9">
                  <c:v>0.43754655190818187</c:v>
                </c:pt>
                <c:pt idx="10">
                  <c:v>0.27684799082223627</c:v>
                </c:pt>
                <c:pt idx="11">
                  <c:v>0.2168423256826503</c:v>
                </c:pt>
                <c:pt idx="12">
                  <c:v>0.4345871292635648</c:v>
                </c:pt>
                <c:pt idx="13">
                  <c:v>0.20092930208914486</c:v>
                </c:pt>
                <c:pt idx="14">
                  <c:v>0.26763346916825126</c:v>
                </c:pt>
                <c:pt idx="15">
                  <c:v>2.0745043761510771</c:v>
                </c:pt>
                <c:pt idx="16">
                  <c:v>2.1159020414820411</c:v>
                </c:pt>
                <c:pt idx="17">
                  <c:v>1.8726527946682321</c:v>
                </c:pt>
              </c:numCache>
            </c:numRef>
          </c:yVal>
          <c:smooth val="0"/>
          <c:extLst>
            <c:ext xmlns:c16="http://schemas.microsoft.com/office/drawing/2014/chart" uri="{C3380CC4-5D6E-409C-BE32-E72D297353CC}">
              <c16:uniqueId val="{0000005F-D913-AE4B-96EA-80037105816D}"/>
            </c:ext>
          </c:extLst>
        </c:ser>
        <c:dLbls>
          <c:showLegendKey val="0"/>
          <c:showVal val="0"/>
          <c:showCatName val="0"/>
          <c:showSerName val="0"/>
          <c:showPercent val="0"/>
          <c:showBubbleSize val="0"/>
        </c:dLbls>
        <c:axId val="407920512"/>
        <c:axId val="407920960"/>
      </c:scatterChart>
      <c:catAx>
        <c:axId val="407920512"/>
        <c:scaling>
          <c:orientation val="minMax"/>
        </c:scaling>
        <c:delete val="0"/>
        <c:axPos val="b"/>
        <c:numFmt formatCode="General" sourceLinked="1"/>
        <c:majorTickMark val="none"/>
        <c:minorTickMark val="out"/>
        <c:tickLblPos val="nextTo"/>
        <c:spPr>
          <a:noFill/>
          <a:ln w="1270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7920960"/>
        <c:crosses val="autoZero"/>
        <c:auto val="1"/>
        <c:lblAlgn val="ctr"/>
        <c:lblOffset val="100"/>
        <c:noMultiLvlLbl val="0"/>
      </c:catAx>
      <c:valAx>
        <c:axId val="407920960"/>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tx1"/>
                    </a:solidFill>
                    <a:latin typeface="+mn-lt"/>
                    <a:ea typeface="+mn-ea"/>
                    <a:cs typeface="+mn-cs"/>
                  </a:defRPr>
                </a:pPr>
                <a:r>
                  <a:rPr lang="en-US" sz="1000" b="1" i="1" u="none" strike="noStrike" kern="1200" baseline="0">
                    <a:solidFill>
                      <a:schemeClr val="tx1"/>
                    </a:solidFill>
                    <a:latin typeface="Times New Roman" panose="02020603050405020304" pitchFamily="18" charset="0"/>
                    <a:cs typeface="Times New Roman" panose="02020603050405020304" pitchFamily="18" charset="0"/>
                  </a:rPr>
                  <a:t> 2</a:t>
                </a:r>
                <a:r>
                  <a:rPr lang="en-US" sz="1000" b="1" i="1" u="none" strike="noStrike" kern="1200" baseline="30000">
                    <a:solidFill>
                      <a:schemeClr val="tx1"/>
                    </a:solidFill>
                    <a:latin typeface="Times New Roman" panose="02020603050405020304" pitchFamily="18" charset="0"/>
                    <a:cs typeface="Times New Roman" panose="02020603050405020304" pitchFamily="18" charset="0"/>
                  </a:rPr>
                  <a:t>-∆∆CT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407920512"/>
        <c:crosses val="autoZero"/>
        <c:crossBetween val="between"/>
      </c:valAx>
      <c:spPr>
        <a:noFill/>
        <a:ln>
          <a:noFill/>
        </a:ln>
        <a:effectLst/>
      </c:spPr>
    </c:plotArea>
    <c:legend>
      <c:legendPos val="r"/>
      <c:legendEntry>
        <c:idx val="6"/>
        <c:delete val="1"/>
      </c:legendEntry>
      <c:legendEntry>
        <c:idx val="7"/>
        <c:delete val="1"/>
      </c:legendEntry>
      <c:legendEntry>
        <c:idx val="8"/>
        <c:delete val="1"/>
      </c:legendEntry>
      <c:legendEntry>
        <c:idx val="9"/>
        <c:delete val="1"/>
      </c:legendEntry>
      <c:legendEntry>
        <c:idx val="1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118533</xdr:colOff>
      <xdr:row>1</xdr:row>
      <xdr:rowOff>101599</xdr:rowOff>
    </xdr:from>
    <xdr:to>
      <xdr:col>15</xdr:col>
      <xdr:colOff>694265</xdr:colOff>
      <xdr:row>13</xdr:row>
      <xdr:rowOff>166389</xdr:rowOff>
    </xdr:to>
    <xdr:sp macro="" textlink="">
      <xdr:nvSpPr>
        <xdr:cNvPr id="2" name="Rounded Rectangle 1">
          <a:extLst>
            <a:ext uri="{FF2B5EF4-FFF2-40B4-BE49-F238E27FC236}">
              <a16:creationId xmlns:a16="http://schemas.microsoft.com/office/drawing/2014/main" id="{D3065408-2EA1-3B4F-B94B-F1093E86ACEC}"/>
            </a:ext>
          </a:extLst>
        </xdr:cNvPr>
        <xdr:cNvSpPr/>
      </xdr:nvSpPr>
      <xdr:spPr>
        <a:xfrm>
          <a:off x="5977466" y="304799"/>
          <a:ext cx="6383866" cy="255399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Colour</a:t>
          </a:r>
          <a:r>
            <a:rPr lang="en-US" sz="1100" baseline="0">
              <a:solidFill>
                <a:schemeClr val="tx1"/>
              </a:solidFill>
            </a:rPr>
            <a:t> coordinate for each gene. If its undetermined format the cells so theyre crossed out and fill it with red. FYI you may need to make more tables or more rows for each table depending on your groups (what if you have WT vs HET [2 tables] or WT +/- HGF vs HET +/- HGF [4 tables] or one with siRNA and all associated controls </a:t>
          </a:r>
          <a:r>
            <a:rPr lang="en-US" sz="1100" b="1" baseline="0">
              <a:solidFill>
                <a:schemeClr val="tx1"/>
              </a:solidFill>
            </a:rPr>
            <a:t>Add these later once I know what they'll be</a:t>
          </a:r>
          <a:r>
            <a:rPr lang="en-US" sz="1100" baseline="0">
              <a:solidFill>
                <a:schemeClr val="tx1"/>
              </a:solidFill>
            </a:rPr>
            <a:t>. Just add more tables to the right. If you need to have different "Control samples" (ex. I'm thinking what if we had to compare MET+HGF to WT+HGF), I think you should just make a copy of the whole sheet and label it that way. If not, then you would have to copy the control table. but I just feel like it would be way more work. Also for the sake of space just delete the tables you don't need, I made enough for 5 treatment groups but its unlikely  I'd have that anyways. I wanted it just in case though. Also, I made all of this with the assumption that there are only 3 technical replicates of each sample (and only 3 samples in each group), If this is not the case you'll need to make more rows and fix the formulas appropriately If you need multiple calculation sheets make sure you copy both of them together using by clikcing one and then hitting command and then the other and then create copy.</a:t>
          </a:r>
        </a:p>
        <a:p>
          <a:pPr algn="l"/>
          <a:endParaRPr lang="en-US" sz="11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152798</xdr:colOff>
      <xdr:row>28</xdr:row>
      <xdr:rowOff>147249</xdr:rowOff>
    </xdr:from>
    <xdr:to>
      <xdr:col>11</xdr:col>
      <xdr:colOff>653996</xdr:colOff>
      <xdr:row>40</xdr:row>
      <xdr:rowOff>110436</xdr:rowOff>
    </xdr:to>
    <xdr:graphicFrame macro="">
      <xdr:nvGraphicFramePr>
        <xdr:cNvPr id="4" name="Chart 3">
          <a:extLst>
            <a:ext uri="{FF2B5EF4-FFF2-40B4-BE49-F238E27FC236}">
              <a16:creationId xmlns:a16="http://schemas.microsoft.com/office/drawing/2014/main" id="{A044C5D4-B41C-3648-6205-3939F2C02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281098</xdr:colOff>
      <xdr:row>26</xdr:row>
      <xdr:rowOff>0</xdr:rowOff>
    </xdr:from>
    <xdr:to>
      <xdr:col>18</xdr:col>
      <xdr:colOff>552173</xdr:colOff>
      <xdr:row>40</xdr:row>
      <xdr:rowOff>73623</xdr:rowOff>
    </xdr:to>
    <xdr:graphicFrame macro="">
      <xdr:nvGraphicFramePr>
        <xdr:cNvPr id="9" name="Chart 8">
          <a:extLst>
            <a:ext uri="{FF2B5EF4-FFF2-40B4-BE49-F238E27FC236}">
              <a16:creationId xmlns:a16="http://schemas.microsoft.com/office/drawing/2014/main" id="{69741A81-40A2-6959-A162-61EA0DEF9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36812</xdr:colOff>
      <xdr:row>41</xdr:row>
      <xdr:rowOff>147246</xdr:rowOff>
    </xdr:from>
    <xdr:to>
      <xdr:col>11</xdr:col>
      <xdr:colOff>717826</xdr:colOff>
      <xdr:row>45</xdr:row>
      <xdr:rowOff>128841</xdr:rowOff>
    </xdr:to>
    <xdr:sp macro="" textlink="">
      <xdr:nvSpPr>
        <xdr:cNvPr id="10" name="Rounded Rectangle 9">
          <a:extLst>
            <a:ext uri="{FF2B5EF4-FFF2-40B4-BE49-F238E27FC236}">
              <a16:creationId xmlns:a16="http://schemas.microsoft.com/office/drawing/2014/main" id="{42809155-736F-7B16-194F-F64E3AA442DE}"/>
            </a:ext>
          </a:extLst>
        </xdr:cNvPr>
        <xdr:cNvSpPr/>
      </xdr:nvSpPr>
      <xdr:spPr>
        <a:xfrm>
          <a:off x="4454203" y="8669130"/>
          <a:ext cx="3994058" cy="791450"/>
        </a:xfrm>
        <a:prstGeom prst="roundRect">
          <a:avLst/>
        </a:prstGeom>
        <a:solidFill>
          <a:srgbClr val="ACDAFA"/>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This graph</a:t>
          </a:r>
          <a:r>
            <a:rPr lang="en-US" sz="1100" baseline="0">
              <a:solidFill>
                <a:schemeClr val="tx1"/>
              </a:solidFill>
            </a:rPr>
            <a:t> would be good if the 1, 2, 3 were something like different time points. If Its just showing one gene at one time or whatever then don't use this one.</a:t>
          </a:r>
          <a:endParaRPr lang="en-US" sz="1100">
            <a:solidFill>
              <a:schemeClr val="tx1"/>
            </a:solidFill>
          </a:endParaRPr>
        </a:p>
      </xdr:txBody>
    </xdr:sp>
    <xdr:clientData/>
  </xdr:twoCellAnchor>
  <xdr:twoCellAnchor>
    <xdr:from>
      <xdr:col>12</xdr:col>
      <xdr:colOff>815008</xdr:colOff>
      <xdr:row>41</xdr:row>
      <xdr:rowOff>152397</xdr:rowOff>
    </xdr:from>
    <xdr:to>
      <xdr:col>17</xdr:col>
      <xdr:colOff>667762</xdr:colOff>
      <xdr:row>45</xdr:row>
      <xdr:rowOff>133992</xdr:rowOff>
    </xdr:to>
    <xdr:sp macro="" textlink="">
      <xdr:nvSpPr>
        <xdr:cNvPr id="11" name="Rounded Rectangle 10">
          <a:extLst>
            <a:ext uri="{FF2B5EF4-FFF2-40B4-BE49-F238E27FC236}">
              <a16:creationId xmlns:a16="http://schemas.microsoft.com/office/drawing/2014/main" id="{10C718AC-DF1C-2244-B641-E6895A497458}"/>
            </a:ext>
          </a:extLst>
        </xdr:cNvPr>
        <xdr:cNvSpPr/>
      </xdr:nvSpPr>
      <xdr:spPr>
        <a:xfrm>
          <a:off x="9373704" y="8674281"/>
          <a:ext cx="3994058" cy="791450"/>
        </a:xfrm>
        <a:prstGeom prst="roundRect">
          <a:avLst/>
        </a:prstGeom>
        <a:solidFill>
          <a:srgbClr val="ACDAFA"/>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This graph</a:t>
          </a:r>
          <a:r>
            <a:rPr lang="en-US" sz="1100" baseline="0">
              <a:solidFill>
                <a:schemeClr val="tx1"/>
              </a:solidFill>
            </a:rPr>
            <a:t> would be good ito show one gene at one time. If there was something like different time points then don't use this one. </a:t>
          </a:r>
          <a:endParaRPr lang="en-US" sz="1100">
            <a:solidFill>
              <a:schemeClr val="tx1"/>
            </a:solidFill>
          </a:endParaRPr>
        </a:p>
      </xdr:txBody>
    </xdr:sp>
    <xdr:clientData/>
  </xdr:twoCellAnchor>
  <xdr:twoCellAnchor>
    <xdr:from>
      <xdr:col>6</xdr:col>
      <xdr:colOff>152798</xdr:colOff>
      <xdr:row>68</xdr:row>
      <xdr:rowOff>147249</xdr:rowOff>
    </xdr:from>
    <xdr:to>
      <xdr:col>11</xdr:col>
      <xdr:colOff>653996</xdr:colOff>
      <xdr:row>80</xdr:row>
      <xdr:rowOff>110436</xdr:rowOff>
    </xdr:to>
    <xdr:graphicFrame macro="">
      <xdr:nvGraphicFramePr>
        <xdr:cNvPr id="12" name="Chart 11">
          <a:extLst>
            <a:ext uri="{FF2B5EF4-FFF2-40B4-BE49-F238E27FC236}">
              <a16:creationId xmlns:a16="http://schemas.microsoft.com/office/drawing/2014/main" id="{56136895-9284-1042-A93C-C93C50DC5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281098</xdr:colOff>
      <xdr:row>66</xdr:row>
      <xdr:rowOff>0</xdr:rowOff>
    </xdr:from>
    <xdr:to>
      <xdr:col>18</xdr:col>
      <xdr:colOff>552173</xdr:colOff>
      <xdr:row>80</xdr:row>
      <xdr:rowOff>73623</xdr:rowOff>
    </xdr:to>
    <xdr:graphicFrame macro="">
      <xdr:nvGraphicFramePr>
        <xdr:cNvPr id="13" name="Chart 12">
          <a:extLst>
            <a:ext uri="{FF2B5EF4-FFF2-40B4-BE49-F238E27FC236}">
              <a16:creationId xmlns:a16="http://schemas.microsoft.com/office/drawing/2014/main" id="{0448850A-879C-A04F-B2D2-22A5827F5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36812</xdr:colOff>
      <xdr:row>81</xdr:row>
      <xdr:rowOff>147246</xdr:rowOff>
    </xdr:from>
    <xdr:to>
      <xdr:col>11</xdr:col>
      <xdr:colOff>717826</xdr:colOff>
      <xdr:row>85</xdr:row>
      <xdr:rowOff>128841</xdr:rowOff>
    </xdr:to>
    <xdr:sp macro="" textlink="">
      <xdr:nvSpPr>
        <xdr:cNvPr id="14" name="Rounded Rectangle 13">
          <a:extLst>
            <a:ext uri="{FF2B5EF4-FFF2-40B4-BE49-F238E27FC236}">
              <a16:creationId xmlns:a16="http://schemas.microsoft.com/office/drawing/2014/main" id="{B861CB2C-A0FF-D54B-8579-32547DCE61AE}"/>
            </a:ext>
          </a:extLst>
        </xdr:cNvPr>
        <xdr:cNvSpPr/>
      </xdr:nvSpPr>
      <xdr:spPr>
        <a:xfrm>
          <a:off x="4454203" y="8669130"/>
          <a:ext cx="3994058" cy="791450"/>
        </a:xfrm>
        <a:prstGeom prst="roundRect">
          <a:avLst/>
        </a:prstGeom>
        <a:solidFill>
          <a:srgbClr val="CE99F2"/>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This graph</a:t>
          </a:r>
          <a:r>
            <a:rPr lang="en-US" sz="1100" baseline="0">
              <a:solidFill>
                <a:schemeClr val="tx1"/>
              </a:solidFill>
            </a:rPr>
            <a:t> would be good if the 1, 2, 3 were something like different time points. If Its just showing one gene at one time or whatever then don't use this one.</a:t>
          </a:r>
          <a:endParaRPr lang="en-US" sz="1100">
            <a:solidFill>
              <a:schemeClr val="tx1"/>
            </a:solidFill>
          </a:endParaRPr>
        </a:p>
      </xdr:txBody>
    </xdr:sp>
    <xdr:clientData/>
  </xdr:twoCellAnchor>
  <xdr:twoCellAnchor>
    <xdr:from>
      <xdr:col>12</xdr:col>
      <xdr:colOff>815008</xdr:colOff>
      <xdr:row>81</xdr:row>
      <xdr:rowOff>152397</xdr:rowOff>
    </xdr:from>
    <xdr:to>
      <xdr:col>17</xdr:col>
      <xdr:colOff>667762</xdr:colOff>
      <xdr:row>85</xdr:row>
      <xdr:rowOff>133992</xdr:rowOff>
    </xdr:to>
    <xdr:sp macro="" textlink="">
      <xdr:nvSpPr>
        <xdr:cNvPr id="15" name="Rounded Rectangle 14">
          <a:extLst>
            <a:ext uri="{FF2B5EF4-FFF2-40B4-BE49-F238E27FC236}">
              <a16:creationId xmlns:a16="http://schemas.microsoft.com/office/drawing/2014/main" id="{82D66F96-E192-6E4C-9E93-4ECFF8F8625F}"/>
            </a:ext>
          </a:extLst>
        </xdr:cNvPr>
        <xdr:cNvSpPr/>
      </xdr:nvSpPr>
      <xdr:spPr>
        <a:xfrm>
          <a:off x="9373704" y="8674281"/>
          <a:ext cx="3994058" cy="791450"/>
        </a:xfrm>
        <a:prstGeom prst="roundRect">
          <a:avLst/>
        </a:prstGeom>
        <a:solidFill>
          <a:srgbClr val="CE99F2"/>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This graph</a:t>
          </a:r>
          <a:r>
            <a:rPr lang="en-US" sz="1100" baseline="0">
              <a:solidFill>
                <a:schemeClr val="tx1"/>
              </a:solidFill>
            </a:rPr>
            <a:t> would be good ito show one gene at one time. If there was something like different time points then don't use this one. </a:t>
          </a:r>
          <a:endParaRPr lang="en-US" sz="1100">
            <a:solidFill>
              <a:schemeClr val="tx1"/>
            </a:solidFill>
          </a:endParaRPr>
        </a:p>
      </xdr:txBody>
    </xdr:sp>
    <xdr:clientData/>
  </xdr:twoCellAnchor>
  <xdr:twoCellAnchor>
    <xdr:from>
      <xdr:col>6</xdr:col>
      <xdr:colOff>152798</xdr:colOff>
      <xdr:row>108</xdr:row>
      <xdr:rowOff>147249</xdr:rowOff>
    </xdr:from>
    <xdr:to>
      <xdr:col>11</xdr:col>
      <xdr:colOff>653996</xdr:colOff>
      <xdr:row>120</xdr:row>
      <xdr:rowOff>110436</xdr:rowOff>
    </xdr:to>
    <xdr:graphicFrame macro="">
      <xdr:nvGraphicFramePr>
        <xdr:cNvPr id="16" name="Chart 15">
          <a:extLst>
            <a:ext uri="{FF2B5EF4-FFF2-40B4-BE49-F238E27FC236}">
              <a16:creationId xmlns:a16="http://schemas.microsoft.com/office/drawing/2014/main" id="{2D27C660-E436-2F4D-BE81-A43D5BEF8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281098</xdr:colOff>
      <xdr:row>106</xdr:row>
      <xdr:rowOff>0</xdr:rowOff>
    </xdr:from>
    <xdr:to>
      <xdr:col>18</xdr:col>
      <xdr:colOff>552173</xdr:colOff>
      <xdr:row>120</xdr:row>
      <xdr:rowOff>73623</xdr:rowOff>
    </xdr:to>
    <xdr:graphicFrame macro="">
      <xdr:nvGraphicFramePr>
        <xdr:cNvPr id="17" name="Chart 16">
          <a:extLst>
            <a:ext uri="{FF2B5EF4-FFF2-40B4-BE49-F238E27FC236}">
              <a16:creationId xmlns:a16="http://schemas.microsoft.com/office/drawing/2014/main" id="{A686AB53-A774-0948-9120-FA82DD494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36812</xdr:colOff>
      <xdr:row>121</xdr:row>
      <xdr:rowOff>147246</xdr:rowOff>
    </xdr:from>
    <xdr:to>
      <xdr:col>11</xdr:col>
      <xdr:colOff>717826</xdr:colOff>
      <xdr:row>125</xdr:row>
      <xdr:rowOff>128841</xdr:rowOff>
    </xdr:to>
    <xdr:sp macro="" textlink="">
      <xdr:nvSpPr>
        <xdr:cNvPr id="18" name="Rounded Rectangle 17">
          <a:extLst>
            <a:ext uri="{FF2B5EF4-FFF2-40B4-BE49-F238E27FC236}">
              <a16:creationId xmlns:a16="http://schemas.microsoft.com/office/drawing/2014/main" id="{077BAD26-9A7B-CE47-B497-EB1A8517852B}"/>
            </a:ext>
          </a:extLst>
        </xdr:cNvPr>
        <xdr:cNvSpPr/>
      </xdr:nvSpPr>
      <xdr:spPr>
        <a:xfrm>
          <a:off x="4454203" y="17006956"/>
          <a:ext cx="3994058" cy="791450"/>
        </a:xfrm>
        <a:prstGeom prst="roundRect">
          <a:avLst/>
        </a:prstGeom>
        <a:solidFill>
          <a:srgbClr val="F7D8C6"/>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This graph</a:t>
          </a:r>
          <a:r>
            <a:rPr lang="en-US" sz="1100" baseline="0">
              <a:solidFill>
                <a:schemeClr val="tx1"/>
              </a:solidFill>
            </a:rPr>
            <a:t> would be good if the 1, 2, 3 were something like different time points. If Its just showing one gene at one time or whatever then don't use this one. Actually it wouldnt even be good for what i said earlier</a:t>
          </a:r>
          <a:endParaRPr lang="en-US" sz="1100">
            <a:solidFill>
              <a:schemeClr val="tx1"/>
            </a:solidFill>
          </a:endParaRPr>
        </a:p>
      </xdr:txBody>
    </xdr:sp>
    <xdr:clientData/>
  </xdr:twoCellAnchor>
  <xdr:twoCellAnchor>
    <xdr:from>
      <xdr:col>12</xdr:col>
      <xdr:colOff>815008</xdr:colOff>
      <xdr:row>121</xdr:row>
      <xdr:rowOff>152397</xdr:rowOff>
    </xdr:from>
    <xdr:to>
      <xdr:col>17</xdr:col>
      <xdr:colOff>667762</xdr:colOff>
      <xdr:row>125</xdr:row>
      <xdr:rowOff>133992</xdr:rowOff>
    </xdr:to>
    <xdr:sp macro="" textlink="">
      <xdr:nvSpPr>
        <xdr:cNvPr id="19" name="Rounded Rectangle 18">
          <a:extLst>
            <a:ext uri="{FF2B5EF4-FFF2-40B4-BE49-F238E27FC236}">
              <a16:creationId xmlns:a16="http://schemas.microsoft.com/office/drawing/2014/main" id="{2DB8C0F4-290D-DD46-9600-E45B65F82640}"/>
            </a:ext>
          </a:extLst>
        </xdr:cNvPr>
        <xdr:cNvSpPr/>
      </xdr:nvSpPr>
      <xdr:spPr>
        <a:xfrm>
          <a:off x="9373704" y="17012107"/>
          <a:ext cx="3994058" cy="791450"/>
        </a:xfrm>
        <a:prstGeom prst="roundRect">
          <a:avLst/>
        </a:prstGeom>
        <a:solidFill>
          <a:srgbClr val="F7D8C6"/>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This graph</a:t>
          </a:r>
          <a:r>
            <a:rPr lang="en-US" sz="1100" baseline="0">
              <a:solidFill>
                <a:schemeClr val="tx1"/>
              </a:solidFill>
            </a:rPr>
            <a:t> would be good ito show one gene at one time. If there was something like different time points then don't use this one. </a:t>
          </a:r>
          <a:endParaRPr lang="en-US" sz="1100">
            <a:solidFill>
              <a:schemeClr val="tx1"/>
            </a:solidFill>
          </a:endParaRPr>
        </a:p>
      </xdr:txBody>
    </xdr:sp>
    <xdr:clientData/>
  </xdr:twoCellAnchor>
  <xdr:twoCellAnchor>
    <xdr:from>
      <xdr:col>6</xdr:col>
      <xdr:colOff>152798</xdr:colOff>
      <xdr:row>148</xdr:row>
      <xdr:rowOff>147249</xdr:rowOff>
    </xdr:from>
    <xdr:to>
      <xdr:col>11</xdr:col>
      <xdr:colOff>653996</xdr:colOff>
      <xdr:row>160</xdr:row>
      <xdr:rowOff>110436</xdr:rowOff>
    </xdr:to>
    <xdr:graphicFrame macro="">
      <xdr:nvGraphicFramePr>
        <xdr:cNvPr id="20" name="Chart 19">
          <a:extLst>
            <a:ext uri="{FF2B5EF4-FFF2-40B4-BE49-F238E27FC236}">
              <a16:creationId xmlns:a16="http://schemas.microsoft.com/office/drawing/2014/main" id="{B21B1617-A1BE-9144-BADD-1B2D0D6FB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281098</xdr:colOff>
      <xdr:row>146</xdr:row>
      <xdr:rowOff>0</xdr:rowOff>
    </xdr:from>
    <xdr:to>
      <xdr:col>18</xdr:col>
      <xdr:colOff>552173</xdr:colOff>
      <xdr:row>160</xdr:row>
      <xdr:rowOff>73623</xdr:rowOff>
    </xdr:to>
    <xdr:graphicFrame macro="">
      <xdr:nvGraphicFramePr>
        <xdr:cNvPr id="21" name="Chart 20">
          <a:extLst>
            <a:ext uri="{FF2B5EF4-FFF2-40B4-BE49-F238E27FC236}">
              <a16:creationId xmlns:a16="http://schemas.microsoft.com/office/drawing/2014/main" id="{C543351F-C699-2A47-A5EF-9460E4211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36812</xdr:colOff>
      <xdr:row>161</xdr:row>
      <xdr:rowOff>147246</xdr:rowOff>
    </xdr:from>
    <xdr:to>
      <xdr:col>11</xdr:col>
      <xdr:colOff>717826</xdr:colOff>
      <xdr:row>165</xdr:row>
      <xdr:rowOff>128841</xdr:rowOff>
    </xdr:to>
    <xdr:sp macro="" textlink="">
      <xdr:nvSpPr>
        <xdr:cNvPr id="22" name="Rounded Rectangle 21">
          <a:extLst>
            <a:ext uri="{FF2B5EF4-FFF2-40B4-BE49-F238E27FC236}">
              <a16:creationId xmlns:a16="http://schemas.microsoft.com/office/drawing/2014/main" id="{3B6E00C0-3801-D94F-B20A-82D5B96FC5F1}"/>
            </a:ext>
          </a:extLst>
        </xdr:cNvPr>
        <xdr:cNvSpPr/>
      </xdr:nvSpPr>
      <xdr:spPr>
        <a:xfrm>
          <a:off x="4462570" y="25951337"/>
          <a:ext cx="3990711" cy="828262"/>
        </a:xfrm>
        <a:prstGeom prst="roundRect">
          <a:avLst/>
        </a:prstGeom>
        <a:solidFill>
          <a:srgbClr val="FFBDEB"/>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This graph</a:t>
          </a:r>
          <a:r>
            <a:rPr lang="en-US" sz="1100" baseline="0">
              <a:solidFill>
                <a:schemeClr val="tx1"/>
              </a:solidFill>
            </a:rPr>
            <a:t> would be good if the 1, 2, 3 were something like different time points. If Its just showing one gene at one time or whatever then don't use this one.</a:t>
          </a:r>
          <a:endParaRPr lang="en-US" sz="1100">
            <a:solidFill>
              <a:schemeClr val="tx1"/>
            </a:solidFill>
          </a:endParaRPr>
        </a:p>
      </xdr:txBody>
    </xdr:sp>
    <xdr:clientData/>
  </xdr:twoCellAnchor>
  <xdr:twoCellAnchor>
    <xdr:from>
      <xdr:col>12</xdr:col>
      <xdr:colOff>815008</xdr:colOff>
      <xdr:row>161</xdr:row>
      <xdr:rowOff>152397</xdr:rowOff>
    </xdr:from>
    <xdr:to>
      <xdr:col>17</xdr:col>
      <xdr:colOff>667762</xdr:colOff>
      <xdr:row>165</xdr:row>
      <xdr:rowOff>133992</xdr:rowOff>
    </xdr:to>
    <xdr:sp macro="" textlink="">
      <xdr:nvSpPr>
        <xdr:cNvPr id="23" name="Rounded Rectangle 22">
          <a:extLst>
            <a:ext uri="{FF2B5EF4-FFF2-40B4-BE49-F238E27FC236}">
              <a16:creationId xmlns:a16="http://schemas.microsoft.com/office/drawing/2014/main" id="{D4967068-A7FB-FB41-8F80-2977C8E105FF}"/>
            </a:ext>
          </a:extLst>
        </xdr:cNvPr>
        <xdr:cNvSpPr/>
      </xdr:nvSpPr>
      <xdr:spPr>
        <a:xfrm>
          <a:off x="9377887" y="25956488"/>
          <a:ext cx="3989875" cy="828262"/>
        </a:xfrm>
        <a:prstGeom prst="roundRect">
          <a:avLst/>
        </a:prstGeom>
        <a:solidFill>
          <a:srgbClr val="FFBDEB"/>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This graph</a:t>
          </a:r>
          <a:r>
            <a:rPr lang="en-US" sz="1100" baseline="0">
              <a:solidFill>
                <a:schemeClr val="tx1"/>
              </a:solidFill>
            </a:rPr>
            <a:t> would be good ito show one gene at one time. If there was something like different time points then don't use this one. </a:t>
          </a:r>
          <a:endParaRPr lang="en-US" sz="1100">
            <a:solidFill>
              <a:schemeClr val="tx1"/>
            </a:solidFill>
          </a:endParaRPr>
        </a:p>
      </xdr:txBody>
    </xdr:sp>
    <xdr:clientData/>
  </xdr:twoCellAnchor>
  <xdr:twoCellAnchor>
    <xdr:from>
      <xdr:col>6</xdr:col>
      <xdr:colOff>152798</xdr:colOff>
      <xdr:row>188</xdr:row>
      <xdr:rowOff>147249</xdr:rowOff>
    </xdr:from>
    <xdr:to>
      <xdr:col>11</xdr:col>
      <xdr:colOff>653996</xdr:colOff>
      <xdr:row>200</xdr:row>
      <xdr:rowOff>110436</xdr:rowOff>
    </xdr:to>
    <xdr:graphicFrame macro="">
      <xdr:nvGraphicFramePr>
        <xdr:cNvPr id="24" name="Chart 23">
          <a:extLst>
            <a:ext uri="{FF2B5EF4-FFF2-40B4-BE49-F238E27FC236}">
              <a16:creationId xmlns:a16="http://schemas.microsoft.com/office/drawing/2014/main" id="{91144CD6-E9AA-9B4C-BC56-71C20D2A6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281098</xdr:colOff>
      <xdr:row>186</xdr:row>
      <xdr:rowOff>0</xdr:rowOff>
    </xdr:from>
    <xdr:to>
      <xdr:col>18</xdr:col>
      <xdr:colOff>552173</xdr:colOff>
      <xdr:row>200</xdr:row>
      <xdr:rowOff>73623</xdr:rowOff>
    </xdr:to>
    <xdr:graphicFrame macro="">
      <xdr:nvGraphicFramePr>
        <xdr:cNvPr id="25" name="Chart 24">
          <a:extLst>
            <a:ext uri="{FF2B5EF4-FFF2-40B4-BE49-F238E27FC236}">
              <a16:creationId xmlns:a16="http://schemas.microsoft.com/office/drawing/2014/main" id="{F34B26CF-256E-F24B-B692-7078DA6FB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36812</xdr:colOff>
      <xdr:row>201</xdr:row>
      <xdr:rowOff>147246</xdr:rowOff>
    </xdr:from>
    <xdr:to>
      <xdr:col>11</xdr:col>
      <xdr:colOff>717826</xdr:colOff>
      <xdr:row>205</xdr:row>
      <xdr:rowOff>128841</xdr:rowOff>
    </xdr:to>
    <xdr:sp macro="" textlink="">
      <xdr:nvSpPr>
        <xdr:cNvPr id="26" name="Rounded Rectangle 25">
          <a:extLst>
            <a:ext uri="{FF2B5EF4-FFF2-40B4-BE49-F238E27FC236}">
              <a16:creationId xmlns:a16="http://schemas.microsoft.com/office/drawing/2014/main" id="{B835E6B2-AF53-5041-AD0D-F3A90E42B6FA}"/>
            </a:ext>
          </a:extLst>
        </xdr:cNvPr>
        <xdr:cNvSpPr/>
      </xdr:nvSpPr>
      <xdr:spPr>
        <a:xfrm>
          <a:off x="4432966" y="32913246"/>
          <a:ext cx="3963475" cy="763133"/>
        </a:xfrm>
        <a:prstGeom prst="roundRect">
          <a:avLst/>
        </a:prstGeom>
        <a:solidFill>
          <a:srgbClr val="F9EBA0"/>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This graph</a:t>
          </a:r>
          <a:r>
            <a:rPr lang="en-US" sz="1100" baseline="0">
              <a:solidFill>
                <a:schemeClr val="tx1"/>
              </a:solidFill>
            </a:rPr>
            <a:t> would be good if the 1, 2, 3 were something like different time points. If Its just showing one gene at one time or whatever then don't use this one.</a:t>
          </a:r>
          <a:endParaRPr lang="en-US" sz="1100">
            <a:solidFill>
              <a:schemeClr val="tx1"/>
            </a:solidFill>
          </a:endParaRPr>
        </a:p>
      </xdr:txBody>
    </xdr:sp>
    <xdr:clientData/>
  </xdr:twoCellAnchor>
  <xdr:twoCellAnchor>
    <xdr:from>
      <xdr:col>12</xdr:col>
      <xdr:colOff>815008</xdr:colOff>
      <xdr:row>201</xdr:row>
      <xdr:rowOff>152397</xdr:rowOff>
    </xdr:from>
    <xdr:to>
      <xdr:col>17</xdr:col>
      <xdr:colOff>667762</xdr:colOff>
      <xdr:row>205</xdr:row>
      <xdr:rowOff>133992</xdr:rowOff>
    </xdr:to>
    <xdr:sp macro="" textlink="">
      <xdr:nvSpPr>
        <xdr:cNvPr id="27" name="Rounded Rectangle 26">
          <a:extLst>
            <a:ext uri="{FF2B5EF4-FFF2-40B4-BE49-F238E27FC236}">
              <a16:creationId xmlns:a16="http://schemas.microsoft.com/office/drawing/2014/main" id="{343E23DA-EE58-1944-BDD2-CE33C9B7ACC3}"/>
            </a:ext>
          </a:extLst>
        </xdr:cNvPr>
        <xdr:cNvSpPr/>
      </xdr:nvSpPr>
      <xdr:spPr>
        <a:xfrm>
          <a:off x="9314239" y="32918397"/>
          <a:ext cx="3955831" cy="763133"/>
        </a:xfrm>
        <a:prstGeom prst="roundRect">
          <a:avLst/>
        </a:prstGeom>
        <a:solidFill>
          <a:srgbClr val="F9EBA0"/>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This graph</a:t>
          </a:r>
          <a:r>
            <a:rPr lang="en-US" sz="1100" baseline="0">
              <a:solidFill>
                <a:schemeClr val="tx1"/>
              </a:solidFill>
            </a:rPr>
            <a:t> would be good ito show one gene at one time. If there was something like different time points then don't use this one. </a:t>
          </a:r>
          <a:endParaRPr lang="en-US" sz="1100">
            <a:solidFill>
              <a:schemeClr val="tx1"/>
            </a:solidFill>
          </a:endParaRPr>
        </a:p>
      </xdr:txBody>
    </xdr:sp>
    <xdr:clientData/>
  </xdr:twoCellAnchor>
  <xdr:twoCellAnchor>
    <xdr:from>
      <xdr:col>20</xdr:col>
      <xdr:colOff>193191</xdr:colOff>
      <xdr:row>44</xdr:row>
      <xdr:rowOff>6159</xdr:rowOff>
    </xdr:from>
    <xdr:to>
      <xdr:col>30</xdr:col>
      <xdr:colOff>338667</xdr:colOff>
      <xdr:row>56</xdr:row>
      <xdr:rowOff>42334</xdr:rowOff>
    </xdr:to>
    <xdr:graphicFrame macro="">
      <xdr:nvGraphicFramePr>
        <xdr:cNvPr id="29" name="Chart 28">
          <a:extLst>
            <a:ext uri="{FF2B5EF4-FFF2-40B4-BE49-F238E27FC236}">
              <a16:creationId xmlns:a16="http://schemas.microsoft.com/office/drawing/2014/main" id="{B085E203-237D-A6E1-AC46-84716B549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329636</xdr:colOff>
      <xdr:row>92</xdr:row>
      <xdr:rowOff>77304</xdr:rowOff>
    </xdr:from>
    <xdr:to>
      <xdr:col>32</xdr:col>
      <xdr:colOff>28713</xdr:colOff>
      <xdr:row>105</xdr:row>
      <xdr:rowOff>162500</xdr:rowOff>
    </xdr:to>
    <xdr:graphicFrame macro="">
      <xdr:nvGraphicFramePr>
        <xdr:cNvPr id="38" name="Chart 37">
          <a:extLst>
            <a:ext uri="{FF2B5EF4-FFF2-40B4-BE49-F238E27FC236}">
              <a16:creationId xmlns:a16="http://schemas.microsoft.com/office/drawing/2014/main" id="{A97D052A-D5EE-05AF-A8F0-B136E3C24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430893</xdr:colOff>
      <xdr:row>0</xdr:row>
      <xdr:rowOff>113393</xdr:rowOff>
    </xdr:from>
    <xdr:to>
      <xdr:col>36</xdr:col>
      <xdr:colOff>90714</xdr:colOff>
      <xdr:row>9</xdr:row>
      <xdr:rowOff>96762</xdr:rowOff>
    </xdr:to>
    <xdr:sp macro="" textlink="">
      <xdr:nvSpPr>
        <xdr:cNvPr id="28" name="Rounded Rectangle 27">
          <a:extLst>
            <a:ext uri="{FF2B5EF4-FFF2-40B4-BE49-F238E27FC236}">
              <a16:creationId xmlns:a16="http://schemas.microsoft.com/office/drawing/2014/main" id="{ED9B22E4-0028-A940-850B-2ED327F72713}"/>
            </a:ext>
          </a:extLst>
        </xdr:cNvPr>
        <xdr:cNvSpPr/>
      </xdr:nvSpPr>
      <xdr:spPr>
        <a:xfrm>
          <a:off x="430893" y="113393"/>
          <a:ext cx="27713214" cy="1820333"/>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Make</a:t>
          </a:r>
          <a:r>
            <a:rPr lang="en-US" sz="1100" baseline="0">
              <a:solidFill>
                <a:schemeClr val="tx1"/>
              </a:solidFill>
            </a:rPr>
            <a:t> a bar graph for each gene.</a:t>
          </a:r>
        </a:p>
        <a:p>
          <a:pPr algn="l"/>
          <a:r>
            <a:rPr lang="en-US" sz="1100" baseline="0">
              <a:solidFill>
                <a:schemeClr val="tx1"/>
              </a:solidFill>
            </a:rPr>
            <a:t>Need: Sample name, -2∆∆Cq values</a:t>
          </a:r>
        </a:p>
        <a:p>
          <a:pPr algn="l"/>
          <a:r>
            <a:rPr lang="en-US" sz="1100" baseline="0">
              <a:solidFill>
                <a:schemeClr val="tx1"/>
              </a:solidFill>
            </a:rPr>
            <a:t>Headers: Columns: x-axis. Bars/groups: Rows</a:t>
          </a:r>
        </a:p>
        <a:p>
          <a:pPr algn="l"/>
          <a:endParaRPr lang="en-US" sz="1100" baseline="0">
            <a:solidFill>
              <a:schemeClr val="tx1"/>
            </a:solidFill>
          </a:endParaRPr>
        </a:p>
        <a:p>
          <a:pPr algn="l"/>
          <a:r>
            <a:rPr lang="en-US" sz="1100" baseline="0">
              <a:solidFill>
                <a:schemeClr val="tx1"/>
              </a:solidFill>
            </a:rPr>
            <a:t>If there are less than 5 groups, you need to delete the blank series from each graph. For all graphs except for the "Gene X - Each Replicate Individually" you will also have to change the data selected to only the ones with data.  For "All Groups per Gene" You will need to adjust the x-values of the individual points.</a:t>
          </a:r>
        </a:p>
        <a:p>
          <a:pPr algn="l"/>
          <a:r>
            <a:rPr lang="en-US" sz="1100" baseline="0">
              <a:solidFill>
                <a:schemeClr val="tx1"/>
              </a:solidFill>
            </a:rPr>
            <a:t>If there are less tha 5 genes being tested, the "individual Genes" graphs won't be effected at all,  but for the All Genes graphs, you will need to delete the blank series from each graph. nd change the data selected to only the ones with data.  For "All Genes per Group" You will need to adjust the x-values of the individual points.</a:t>
          </a:r>
        </a:p>
        <a:p>
          <a:pPr algn="l"/>
          <a:r>
            <a:rPr lang="en-US" sz="1100" baseline="0">
              <a:solidFill>
                <a:schemeClr val="tx1"/>
              </a:solidFill>
            </a:rPr>
            <a:t>If there are both less than 5 groups and less than 5 genes, , you need to delete the blank series from each graph. For all graphs except for the "Gene X - Each Replicate Individually" you will also have to change the data selected to only the ones with data.  For "both All Genes graphs, you will need to adjust the x-values of the individual points.</a:t>
          </a:r>
        </a:p>
        <a:p>
          <a:pPr algn="l"/>
          <a:r>
            <a:rPr lang="en-US" sz="1100" baseline="0">
              <a:solidFill>
                <a:schemeClr val="tx1"/>
              </a:solidFill>
            </a:rPr>
            <a:t>When you change the data selctions for the graphs, the format will revert to some ugly default. Combat this byfirst copying and pasting your graoh beside the original (duplicate it essentially), and then changing the  data selection. Once the format changes copy the duplicated graph and select "paste special" then "format" so the formatting is maintained and you dont have to redo it over and over again. Also be mindful you may need to fix the standard deviations (they dont look like they're effected so far but keep it in mind)</a:t>
          </a:r>
        </a:p>
        <a:p>
          <a:pPr algn="l"/>
          <a:endParaRPr lang="en-US" sz="1100" baseline="0">
            <a:solidFill>
              <a:schemeClr val="tx1"/>
            </a:solidFill>
          </a:endParaRPr>
        </a:p>
        <a:p>
          <a:pPr algn="l"/>
          <a:endParaRPr lang="en-US" sz="11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F944-B886-480A-8CC1-9BAE379B9E28}">
  <dimension ref="A1:BA56"/>
  <sheetViews>
    <sheetView tabSelected="1" workbookViewId="0">
      <selection activeCell="G12" sqref="G12:G20"/>
    </sheetView>
  </sheetViews>
  <sheetFormatPr defaultRowHeight="15.6"/>
  <cols>
    <col min="4" max="4" width="12.59765625" customWidth="1"/>
  </cols>
  <sheetData>
    <row r="1" spans="1:53" ht="16.2" thickBot="1">
      <c r="A1" s="1"/>
      <c r="B1" s="1"/>
      <c r="C1" s="718" t="s">
        <v>42</v>
      </c>
      <c r="D1" s="719"/>
      <c r="E1" s="719"/>
      <c r="F1" s="719"/>
      <c r="G1" s="719"/>
      <c r="H1" s="719"/>
      <c r="I1" s="719"/>
      <c r="J1" s="719"/>
      <c r="K1" s="1025" t="s">
        <v>37</v>
      </c>
      <c r="L1" s="719"/>
      <c r="M1" s="719"/>
      <c r="N1" s="719"/>
      <c r="O1" s="719"/>
      <c r="P1" s="719"/>
      <c r="Q1" s="720"/>
      <c r="S1" s="718" t="s">
        <v>38</v>
      </c>
      <c r="T1" s="719"/>
      <c r="U1" s="719"/>
      <c r="V1" s="719"/>
      <c r="W1" s="719"/>
      <c r="X1" s="719"/>
      <c r="Y1" s="719"/>
      <c r="Z1" s="720"/>
      <c r="AB1" s="718" t="s">
        <v>39</v>
      </c>
      <c r="AC1" s="719"/>
      <c r="AD1" s="719"/>
      <c r="AE1" s="719"/>
      <c r="AF1" s="719"/>
      <c r="AG1" s="719"/>
      <c r="AH1" s="719"/>
      <c r="AI1" s="720"/>
      <c r="AK1" s="1026" t="s">
        <v>45</v>
      </c>
      <c r="AL1" s="1026"/>
      <c r="AM1" s="1026"/>
      <c r="AN1" s="1026"/>
      <c r="AO1" s="1026"/>
      <c r="AP1" s="1026"/>
      <c r="AQ1" s="1026"/>
      <c r="AR1" s="1026"/>
      <c r="AT1" s="718" t="s">
        <v>41</v>
      </c>
      <c r="AU1" s="719"/>
      <c r="AV1" s="719"/>
      <c r="AW1" s="719"/>
      <c r="AX1" s="719"/>
      <c r="AY1" s="719"/>
      <c r="AZ1" s="719"/>
      <c r="BA1" s="720"/>
    </row>
    <row r="2" spans="1:53" ht="16.8" thickBot="1">
      <c r="A2" s="1"/>
      <c r="B2" s="1"/>
      <c r="C2" s="6" t="s">
        <v>2</v>
      </c>
      <c r="D2" s="7" t="s">
        <v>3</v>
      </c>
      <c r="E2" s="8" t="s">
        <v>4</v>
      </c>
      <c r="F2" s="9" t="s">
        <v>5</v>
      </c>
      <c r="G2" s="9" t="s">
        <v>6</v>
      </c>
      <c r="H2" s="10" t="s">
        <v>7</v>
      </c>
      <c r="I2" s="11" t="s">
        <v>8</v>
      </c>
      <c r="K2" s="6" t="s">
        <v>1</v>
      </c>
      <c r="L2" s="6" t="s">
        <v>2</v>
      </c>
      <c r="M2" s="7" t="s">
        <v>3</v>
      </c>
      <c r="N2" s="8" t="s">
        <v>4</v>
      </c>
      <c r="O2" s="9" t="s">
        <v>5</v>
      </c>
      <c r="P2" s="11" t="s">
        <v>7</v>
      </c>
      <c r="Q2" t="s">
        <v>44</v>
      </c>
      <c r="S2" s="5" t="s">
        <v>0</v>
      </c>
      <c r="T2" s="6" t="s">
        <v>1</v>
      </c>
      <c r="U2" s="6" t="s">
        <v>2</v>
      </c>
      <c r="V2" s="7" t="s">
        <v>3</v>
      </c>
      <c r="W2" s="8" t="s">
        <v>4</v>
      </c>
      <c r="X2" s="9" t="s">
        <v>5</v>
      </c>
      <c r="Y2" s="10" t="s">
        <v>7</v>
      </c>
      <c r="Z2" s="11" t="s">
        <v>44</v>
      </c>
      <c r="AB2" s="5" t="s">
        <v>0</v>
      </c>
      <c r="AC2" s="6" t="s">
        <v>1</v>
      </c>
      <c r="AD2" s="6" t="s">
        <v>2</v>
      </c>
      <c r="AE2" s="7" t="s">
        <v>3</v>
      </c>
      <c r="AF2" s="8" t="s">
        <v>4</v>
      </c>
      <c r="AG2" s="9" t="s">
        <v>5</v>
      </c>
      <c r="AH2" s="10" t="s">
        <v>7</v>
      </c>
      <c r="AI2" s="11" t="s">
        <v>44</v>
      </c>
      <c r="AK2" s="5" t="s">
        <v>0</v>
      </c>
      <c r="AL2" s="6" t="s">
        <v>1</v>
      </c>
      <c r="AM2" s="6" t="s">
        <v>2</v>
      </c>
      <c r="AN2" s="7" t="s">
        <v>3</v>
      </c>
      <c r="AO2" s="8" t="s">
        <v>4</v>
      </c>
      <c r="AP2" s="9" t="s">
        <v>5</v>
      </c>
      <c r="AQ2" s="10" t="s">
        <v>7</v>
      </c>
      <c r="AR2" s="11" t="s">
        <v>44</v>
      </c>
      <c r="AT2" s="5" t="s">
        <v>0</v>
      </c>
      <c r="AU2" s="6" t="s">
        <v>1</v>
      </c>
      <c r="AV2" s="6" t="s">
        <v>2</v>
      </c>
      <c r="AW2" s="7" t="s">
        <v>3</v>
      </c>
      <c r="AX2" s="8" t="s">
        <v>4</v>
      </c>
      <c r="AY2" s="9" t="s">
        <v>5</v>
      </c>
      <c r="AZ2" s="10" t="s">
        <v>7</v>
      </c>
      <c r="BA2" s="11" t="s">
        <v>44</v>
      </c>
    </row>
    <row r="3" spans="1:53">
      <c r="A3" s="818" t="s">
        <v>19</v>
      </c>
      <c r="B3" s="818" t="str">
        <f>C3</f>
        <v>GAPDH</v>
      </c>
      <c r="C3" s="102" t="s">
        <v>29</v>
      </c>
      <c r="D3" s="704">
        <v>20.427815640245292</v>
      </c>
      <c r="E3" s="775">
        <f>AVERAGE(D3:D5)</f>
        <v>20.471573018267005</v>
      </c>
      <c r="F3" s="991" t="s">
        <v>43</v>
      </c>
      <c r="G3" s="16"/>
      <c r="H3" s="778"/>
      <c r="I3" s="781"/>
      <c r="K3" s="102" t="s">
        <v>37</v>
      </c>
      <c r="L3" s="102" t="s">
        <v>29</v>
      </c>
      <c r="M3" s="704">
        <v>19.593802056137903</v>
      </c>
      <c r="N3" s="995">
        <v>19.52147331671264</v>
      </c>
      <c r="O3" s="778"/>
      <c r="P3" s="778"/>
      <c r="Q3" s="781"/>
      <c r="S3" s="101"/>
      <c r="T3" s="102" t="s">
        <v>38</v>
      </c>
      <c r="U3" s="102" t="s">
        <v>29</v>
      </c>
      <c r="V3" s="704">
        <v>17.469950352923377</v>
      </c>
      <c r="W3" s="775">
        <v>17.529599779897463</v>
      </c>
      <c r="X3" s="778"/>
      <c r="Y3" s="778"/>
      <c r="Z3" s="781"/>
      <c r="AB3" s="101"/>
      <c r="AC3" s="102" t="s">
        <v>39</v>
      </c>
      <c r="AD3" s="102" t="s">
        <v>29</v>
      </c>
      <c r="AE3" s="704">
        <v>20.722142325684111</v>
      </c>
      <c r="AF3" s="775">
        <v>20.368306524789023</v>
      </c>
      <c r="AG3" s="778"/>
      <c r="AH3" s="778"/>
      <c r="AI3" s="781"/>
      <c r="AK3" s="101"/>
      <c r="AL3" s="102" t="s">
        <v>40</v>
      </c>
      <c r="AM3" s="102" t="s">
        <v>29</v>
      </c>
      <c r="AN3" s="704">
        <v>20.722142325684111</v>
      </c>
      <c r="AO3" s="775">
        <v>20.368306524789023</v>
      </c>
      <c r="AP3" s="778"/>
      <c r="AQ3" s="778"/>
      <c r="AR3" s="781"/>
      <c r="AT3" s="101"/>
      <c r="AU3" s="102" t="s">
        <v>41</v>
      </c>
      <c r="AV3" s="102" t="s">
        <v>29</v>
      </c>
      <c r="AW3" s="704"/>
      <c r="AX3" s="775">
        <v>17.892146019305006</v>
      </c>
      <c r="AY3" s="778"/>
      <c r="AZ3" s="778"/>
      <c r="BA3" s="781"/>
    </row>
    <row r="4" spans="1:53">
      <c r="A4" s="819"/>
      <c r="B4" s="819"/>
      <c r="C4" s="104" t="s">
        <v>29</v>
      </c>
      <c r="D4" s="704"/>
      <c r="E4" s="776"/>
      <c r="F4" s="779"/>
      <c r="G4" s="13"/>
      <c r="H4" s="779"/>
      <c r="I4" s="782"/>
      <c r="K4" s="104" t="s">
        <v>37</v>
      </c>
      <c r="L4" s="104" t="s">
        <v>29</v>
      </c>
      <c r="M4" s="704">
        <v>19.3821929077085</v>
      </c>
      <c r="N4" s="993"/>
      <c r="O4" s="779"/>
      <c r="P4" s="779"/>
      <c r="Q4" s="782"/>
      <c r="S4" s="103"/>
      <c r="T4" s="104" t="s">
        <v>38</v>
      </c>
      <c r="U4" s="104" t="s">
        <v>29</v>
      </c>
      <c r="V4" s="704">
        <v>17.578785982039065</v>
      </c>
      <c r="W4" s="776"/>
      <c r="X4" s="779"/>
      <c r="Y4" s="779"/>
      <c r="Z4" s="782"/>
      <c r="AB4" s="103"/>
      <c r="AC4" s="104" t="s">
        <v>39</v>
      </c>
      <c r="AD4" s="104" t="s">
        <v>29</v>
      </c>
      <c r="AE4" s="704">
        <v>19.967785286756524</v>
      </c>
      <c r="AF4" s="776"/>
      <c r="AG4" s="779"/>
      <c r="AH4" s="779"/>
      <c r="AI4" s="782"/>
      <c r="AK4" s="103"/>
      <c r="AL4" s="104" t="s">
        <v>40</v>
      </c>
      <c r="AM4" s="104" t="s">
        <v>29</v>
      </c>
      <c r="AN4" s="704">
        <v>19.967785286756524</v>
      </c>
      <c r="AO4" s="776"/>
      <c r="AP4" s="779"/>
      <c r="AQ4" s="779"/>
      <c r="AR4" s="782"/>
      <c r="AT4" s="103"/>
      <c r="AU4" s="104" t="s">
        <v>41</v>
      </c>
      <c r="AV4" s="104" t="s">
        <v>29</v>
      </c>
      <c r="AW4" s="704">
        <v>17.845501785051006</v>
      </c>
      <c r="AX4" s="776"/>
      <c r="AY4" s="779"/>
      <c r="AZ4" s="779"/>
      <c r="BA4" s="782"/>
    </row>
    <row r="5" spans="1:53">
      <c r="A5" s="819"/>
      <c r="B5" s="819"/>
      <c r="C5" s="110" t="s">
        <v>29</v>
      </c>
      <c r="D5" s="704">
        <v>20.515330396288718</v>
      </c>
      <c r="E5" s="805"/>
      <c r="F5" s="780"/>
      <c r="G5" s="14"/>
      <c r="H5" s="780"/>
      <c r="I5" s="783"/>
      <c r="K5" s="110" t="s">
        <v>37</v>
      </c>
      <c r="L5" s="110" t="s">
        <v>29</v>
      </c>
      <c r="M5" s="704">
        <v>19.588424986291521</v>
      </c>
      <c r="N5" s="994"/>
      <c r="O5" s="821"/>
      <c r="P5" s="821"/>
      <c r="Q5" s="822"/>
      <c r="S5" s="109"/>
      <c r="T5" s="110" t="s">
        <v>38</v>
      </c>
      <c r="U5" s="110" t="s">
        <v>29</v>
      </c>
      <c r="V5" s="704">
        <v>17.540063004729952</v>
      </c>
      <c r="W5" s="777"/>
      <c r="X5" s="821"/>
      <c r="Y5" s="821"/>
      <c r="Z5" s="822"/>
      <c r="AB5" s="109"/>
      <c r="AC5" s="110" t="s">
        <v>39</v>
      </c>
      <c r="AD5" s="110" t="s">
        <v>29</v>
      </c>
      <c r="AE5" s="704">
        <v>20.41499196192644</v>
      </c>
      <c r="AF5" s="777"/>
      <c r="AG5" s="821"/>
      <c r="AH5" s="821"/>
      <c r="AI5" s="822"/>
      <c r="AK5" s="109"/>
      <c r="AL5" s="110" t="s">
        <v>40</v>
      </c>
      <c r="AM5" s="110" t="s">
        <v>29</v>
      </c>
      <c r="AN5" s="704">
        <v>20.41499196192644</v>
      </c>
      <c r="AO5" s="777"/>
      <c r="AP5" s="821"/>
      <c r="AQ5" s="821"/>
      <c r="AR5" s="822"/>
      <c r="AT5" s="109"/>
      <c r="AU5" s="110" t="s">
        <v>41</v>
      </c>
      <c r="AV5" s="110" t="s">
        <v>29</v>
      </c>
      <c r="AW5" s="704">
        <v>17.938790253559006</v>
      </c>
      <c r="AX5" s="777"/>
      <c r="AY5" s="821"/>
      <c r="AZ5" s="821"/>
      <c r="BA5" s="822"/>
    </row>
    <row r="6" spans="1:53">
      <c r="A6" s="819"/>
      <c r="B6" s="819"/>
      <c r="C6" s="121" t="s">
        <v>29</v>
      </c>
      <c r="D6" s="704"/>
      <c r="E6" s="784">
        <f>AVERAGE(D6:D8)</f>
        <v>20.663110676032399</v>
      </c>
      <c r="F6" s="789"/>
      <c r="G6" s="12"/>
      <c r="H6" s="789"/>
      <c r="I6" s="787"/>
      <c r="K6" s="121" t="s">
        <v>37</v>
      </c>
      <c r="L6" s="121" t="s">
        <v>29</v>
      </c>
      <c r="M6" s="704">
        <v>17.611368920355687</v>
      </c>
      <c r="N6" s="992">
        <v>17.648709254952664</v>
      </c>
      <c r="O6" s="823"/>
      <c r="P6" s="823"/>
      <c r="Q6" s="824"/>
      <c r="S6" s="120"/>
      <c r="T6" s="121" t="s">
        <v>38</v>
      </c>
      <c r="U6" s="121" t="s">
        <v>29</v>
      </c>
      <c r="V6" s="704">
        <v>17.707659038966653</v>
      </c>
      <c r="W6" s="788">
        <v>17.858728055031648</v>
      </c>
      <c r="X6" s="823"/>
      <c r="Y6" s="823"/>
      <c r="Z6" s="824"/>
      <c r="AB6" s="120"/>
      <c r="AC6" s="121" t="s">
        <v>39</v>
      </c>
      <c r="AD6" s="121" t="s">
        <v>29</v>
      </c>
      <c r="AE6" s="704">
        <v>20.630732155985669</v>
      </c>
      <c r="AF6" s="788">
        <v>20.320844863221375</v>
      </c>
      <c r="AG6" s="823"/>
      <c r="AH6" s="823"/>
      <c r="AI6" s="824"/>
      <c r="AK6" s="120"/>
      <c r="AL6" s="121" t="s">
        <v>40</v>
      </c>
      <c r="AM6" s="121" t="s">
        <v>29</v>
      </c>
      <c r="AN6" s="704">
        <v>20.630732155985669</v>
      </c>
      <c r="AO6" s="788">
        <v>20.320844863221375</v>
      </c>
      <c r="AP6" s="823"/>
      <c r="AQ6" s="823"/>
      <c r="AR6" s="824"/>
      <c r="AT6" s="120"/>
      <c r="AU6" s="121" t="s">
        <v>41</v>
      </c>
      <c r="AV6" s="121" t="s">
        <v>29</v>
      </c>
      <c r="AW6" s="704">
        <v>18.315126598229035</v>
      </c>
      <c r="AX6" s="788">
        <v>18.462492201891369</v>
      </c>
      <c r="AY6" s="823"/>
      <c r="AZ6" s="823"/>
      <c r="BA6" s="824"/>
    </row>
    <row r="7" spans="1:53">
      <c r="A7" s="819"/>
      <c r="B7" s="819"/>
      <c r="C7" s="118" t="s">
        <v>29</v>
      </c>
      <c r="D7" s="704">
        <v>20.715289982267521</v>
      </c>
      <c r="E7" s="776"/>
      <c r="F7" s="779"/>
      <c r="G7" s="13"/>
      <c r="H7" s="779"/>
      <c r="I7" s="782"/>
      <c r="K7" s="118" t="s">
        <v>37</v>
      </c>
      <c r="L7" s="118" t="s">
        <v>29</v>
      </c>
      <c r="M7" s="704">
        <v>17.628815226481429</v>
      </c>
      <c r="N7" s="993"/>
      <c r="O7" s="779"/>
      <c r="P7" s="779"/>
      <c r="Q7" s="782"/>
      <c r="S7" s="117"/>
      <c r="T7" s="118" t="s">
        <v>38</v>
      </c>
      <c r="U7" s="118" t="s">
        <v>29</v>
      </c>
      <c r="V7" s="704">
        <v>17.85789997136078</v>
      </c>
      <c r="W7" s="776"/>
      <c r="X7" s="779"/>
      <c r="Y7" s="779"/>
      <c r="Z7" s="782"/>
      <c r="AB7" s="117"/>
      <c r="AC7" s="118" t="s">
        <v>39</v>
      </c>
      <c r="AD7" s="118" t="s">
        <v>29</v>
      </c>
      <c r="AE7" s="704">
        <v>20.256083581425976</v>
      </c>
      <c r="AF7" s="776"/>
      <c r="AG7" s="779"/>
      <c r="AH7" s="779"/>
      <c r="AI7" s="782"/>
      <c r="AK7" s="117"/>
      <c r="AL7" s="118" t="s">
        <v>40</v>
      </c>
      <c r="AM7" s="118" t="s">
        <v>29</v>
      </c>
      <c r="AN7" s="704">
        <v>20.256083581425976</v>
      </c>
      <c r="AO7" s="776"/>
      <c r="AP7" s="779"/>
      <c r="AQ7" s="779"/>
      <c r="AR7" s="782"/>
      <c r="AT7" s="117"/>
      <c r="AU7" s="118" t="s">
        <v>41</v>
      </c>
      <c r="AV7" s="118" t="s">
        <v>29</v>
      </c>
      <c r="AW7" s="704">
        <v>18.536357611038731</v>
      </c>
      <c r="AX7" s="776"/>
      <c r="AY7" s="779"/>
      <c r="AZ7" s="779"/>
      <c r="BA7" s="782"/>
    </row>
    <row r="8" spans="1:53">
      <c r="A8" s="819"/>
      <c r="B8" s="819"/>
      <c r="C8" s="123" t="s">
        <v>29</v>
      </c>
      <c r="D8" s="704">
        <v>20.610931369797278</v>
      </c>
      <c r="E8" s="805"/>
      <c r="F8" s="780"/>
      <c r="G8" s="14"/>
      <c r="H8" s="780"/>
      <c r="I8" s="783"/>
      <c r="K8" s="123" t="s">
        <v>37</v>
      </c>
      <c r="L8" s="123" t="s">
        <v>29</v>
      </c>
      <c r="M8" s="704">
        <v>17.705943618020875</v>
      </c>
      <c r="N8" s="994"/>
      <c r="O8" s="821"/>
      <c r="P8" s="821"/>
      <c r="Q8" s="822"/>
      <c r="S8" s="122"/>
      <c r="T8" s="123" t="s">
        <v>38</v>
      </c>
      <c r="U8" s="123" t="s">
        <v>29</v>
      </c>
      <c r="V8" s="704">
        <v>18.01062515476751</v>
      </c>
      <c r="W8" s="777"/>
      <c r="X8" s="821"/>
      <c r="Y8" s="821"/>
      <c r="Z8" s="822"/>
      <c r="AB8" s="122"/>
      <c r="AC8" s="123" t="s">
        <v>39</v>
      </c>
      <c r="AD8" s="123" t="s">
        <v>29</v>
      </c>
      <c r="AE8" s="704">
        <v>20.075718852252479</v>
      </c>
      <c r="AF8" s="777"/>
      <c r="AG8" s="821"/>
      <c r="AH8" s="821"/>
      <c r="AI8" s="822"/>
      <c r="AK8" s="122"/>
      <c r="AL8" s="123" t="s">
        <v>40</v>
      </c>
      <c r="AM8" s="123" t="s">
        <v>29</v>
      </c>
      <c r="AN8" s="704">
        <v>20.075718852252479</v>
      </c>
      <c r="AO8" s="777"/>
      <c r="AP8" s="821"/>
      <c r="AQ8" s="821"/>
      <c r="AR8" s="822"/>
      <c r="AT8" s="122"/>
      <c r="AU8" s="123" t="s">
        <v>41</v>
      </c>
      <c r="AV8" s="123" t="s">
        <v>29</v>
      </c>
      <c r="AW8" s="704">
        <v>18.535992396406343</v>
      </c>
      <c r="AX8" s="777"/>
      <c r="AY8" s="821"/>
      <c r="AZ8" s="821"/>
      <c r="BA8" s="822"/>
    </row>
    <row r="9" spans="1:53">
      <c r="A9" s="819"/>
      <c r="B9" s="819"/>
      <c r="C9" s="113" t="s">
        <v>29</v>
      </c>
      <c r="D9" s="704">
        <v>20.672207091833045</v>
      </c>
      <c r="E9" s="784">
        <f>AVERAGE(D9:D11)</f>
        <v>20.606234798813642</v>
      </c>
      <c r="F9" s="789"/>
      <c r="G9" s="12"/>
      <c r="H9" s="789"/>
      <c r="I9" s="787"/>
      <c r="K9" s="113" t="s">
        <v>37</v>
      </c>
      <c r="L9" s="113" t="s">
        <v>29</v>
      </c>
      <c r="M9" s="704">
        <v>19.224860441773529</v>
      </c>
      <c r="N9" s="992">
        <v>19.241817163616123</v>
      </c>
      <c r="O9" s="823"/>
      <c r="P9" s="823"/>
      <c r="Q9" s="824"/>
      <c r="S9" s="112"/>
      <c r="T9" s="113" t="s">
        <v>38</v>
      </c>
      <c r="U9" s="113" t="s">
        <v>29</v>
      </c>
      <c r="V9" s="704">
        <v>19.328557459368255</v>
      </c>
      <c r="W9" s="776">
        <v>19.263754598426765</v>
      </c>
      <c r="X9" s="779"/>
      <c r="Y9" s="779"/>
      <c r="Z9" s="782"/>
      <c r="AB9" s="112"/>
      <c r="AC9" s="113" t="s">
        <v>39</v>
      </c>
      <c r="AD9" s="113" t="s">
        <v>29</v>
      </c>
      <c r="AE9" s="704">
        <v>19.142668463834568</v>
      </c>
      <c r="AF9" s="776">
        <v>19.237758208998127</v>
      </c>
      <c r="AG9" s="779"/>
      <c r="AH9" s="779"/>
      <c r="AI9" s="782"/>
      <c r="AK9" s="112"/>
      <c r="AL9" s="113" t="s">
        <v>40</v>
      </c>
      <c r="AM9" s="113" t="s">
        <v>29</v>
      </c>
      <c r="AN9" s="704">
        <v>19.142668463834568</v>
      </c>
      <c r="AO9" s="776">
        <v>19.237758208998127</v>
      </c>
      <c r="AP9" s="779"/>
      <c r="AQ9" s="779"/>
      <c r="AR9" s="782"/>
      <c r="AT9" s="112"/>
      <c r="AU9" s="113" t="s">
        <v>41</v>
      </c>
      <c r="AV9" s="113" t="s">
        <v>29</v>
      </c>
      <c r="AW9" s="704">
        <v>18.4830906446876</v>
      </c>
      <c r="AX9" s="776">
        <v>18.570621653645286</v>
      </c>
      <c r="AY9" s="779"/>
      <c r="AZ9" s="779"/>
      <c r="BA9" s="782"/>
    </row>
    <row r="10" spans="1:53">
      <c r="A10" s="819"/>
      <c r="B10" s="819"/>
      <c r="C10" s="104" t="s">
        <v>29</v>
      </c>
      <c r="D10" s="704"/>
      <c r="E10" s="776"/>
      <c r="F10" s="779"/>
      <c r="G10" s="13"/>
      <c r="H10" s="779"/>
      <c r="I10" s="782"/>
      <c r="K10" s="104" t="s">
        <v>37</v>
      </c>
      <c r="L10" s="104" t="s">
        <v>29</v>
      </c>
      <c r="M10" s="704">
        <v>19.644558311870803</v>
      </c>
      <c r="N10" s="993"/>
      <c r="O10" s="779"/>
      <c r="P10" s="779"/>
      <c r="Q10" s="782"/>
      <c r="S10" s="103"/>
      <c r="T10" s="104" t="s">
        <v>38</v>
      </c>
      <c r="U10" s="104" t="s">
        <v>29</v>
      </c>
      <c r="V10" s="704">
        <v>19.610463706475805</v>
      </c>
      <c r="W10" s="776"/>
      <c r="X10" s="779"/>
      <c r="Y10" s="779"/>
      <c r="Z10" s="782"/>
      <c r="AB10" s="103"/>
      <c r="AC10" s="104" t="s">
        <v>39</v>
      </c>
      <c r="AD10" s="104" t="s">
        <v>29</v>
      </c>
      <c r="AE10" s="704">
        <v>19.318447462477323</v>
      </c>
      <c r="AF10" s="776"/>
      <c r="AG10" s="779"/>
      <c r="AH10" s="779"/>
      <c r="AI10" s="782"/>
      <c r="AK10" s="103"/>
      <c r="AL10" s="104" t="s">
        <v>40</v>
      </c>
      <c r="AM10" s="104" t="s">
        <v>29</v>
      </c>
      <c r="AN10" s="704">
        <v>19.318447462477323</v>
      </c>
      <c r="AO10" s="776"/>
      <c r="AP10" s="779"/>
      <c r="AQ10" s="779"/>
      <c r="AR10" s="782"/>
      <c r="AT10" s="103"/>
      <c r="AU10" s="104" t="s">
        <v>41</v>
      </c>
      <c r="AV10" s="104" t="s">
        <v>29</v>
      </c>
      <c r="AW10" s="704">
        <v>18.980716659280915</v>
      </c>
      <c r="AX10" s="776"/>
      <c r="AY10" s="779"/>
      <c r="AZ10" s="779"/>
      <c r="BA10" s="782"/>
    </row>
    <row r="11" spans="1:53" ht="16.2" thickBot="1">
      <c r="A11" s="820"/>
      <c r="B11" s="820"/>
      <c r="C11" s="107" t="s">
        <v>29</v>
      </c>
      <c r="D11" s="704">
        <v>20.540262505794239</v>
      </c>
      <c r="E11" s="792"/>
      <c r="F11" s="793"/>
      <c r="G11" s="15"/>
      <c r="H11" s="793"/>
      <c r="I11" s="794"/>
      <c r="K11" s="107" t="s">
        <v>37</v>
      </c>
      <c r="L11" s="107" t="s">
        <v>29</v>
      </c>
      <c r="M11" s="704">
        <v>18.856032737204039</v>
      </c>
      <c r="N11" s="1002"/>
      <c r="O11" s="793"/>
      <c r="P11" s="793"/>
      <c r="Q11" s="794"/>
      <c r="S11" s="106"/>
      <c r="T11" s="107" t="s">
        <v>38</v>
      </c>
      <c r="U11" s="107" t="s">
        <v>29</v>
      </c>
      <c r="V11" s="704">
        <v>18.852242629436233</v>
      </c>
      <c r="W11" s="792"/>
      <c r="X11" s="793"/>
      <c r="Y11" s="793"/>
      <c r="Z11" s="794"/>
      <c r="AB11" s="106"/>
      <c r="AC11" s="107" t="s">
        <v>39</v>
      </c>
      <c r="AD11" s="107" t="s">
        <v>29</v>
      </c>
      <c r="AE11" s="704">
        <v>19.252158700682486</v>
      </c>
      <c r="AF11" s="792"/>
      <c r="AG11" s="793"/>
      <c r="AH11" s="793"/>
      <c r="AI11" s="794"/>
      <c r="AK11" s="106"/>
      <c r="AL11" s="107" t="s">
        <v>40</v>
      </c>
      <c r="AM11" s="107" t="s">
        <v>29</v>
      </c>
      <c r="AN11" s="704">
        <v>19.252158700682486</v>
      </c>
      <c r="AO11" s="792"/>
      <c r="AP11" s="793"/>
      <c r="AQ11" s="793"/>
      <c r="AR11" s="794"/>
      <c r="AT11" s="106"/>
      <c r="AU11" s="107" t="s">
        <v>41</v>
      </c>
      <c r="AV11" s="107" t="s">
        <v>29</v>
      </c>
      <c r="AW11" s="704">
        <v>18.24805765696734</v>
      </c>
      <c r="AX11" s="792"/>
      <c r="AY11" s="793"/>
      <c r="AZ11" s="793"/>
      <c r="BA11" s="794"/>
    </row>
    <row r="12" spans="1:53">
      <c r="A12" s="802" t="s">
        <v>10</v>
      </c>
      <c r="B12" s="802" t="str">
        <f>C12</f>
        <v>nsP3</v>
      </c>
      <c r="C12" s="55" t="s">
        <v>30</v>
      </c>
      <c r="D12" s="704"/>
      <c r="E12" s="721">
        <f>AVERAGE(D12:D14)</f>
        <v>18.462687911600511</v>
      </c>
      <c r="F12" s="722">
        <f>E12-E3</f>
        <v>-2.0088851066664937</v>
      </c>
      <c r="G12" s="722">
        <f>AVERAGE(F12:F20)</f>
        <v>-1.9180629893664793</v>
      </c>
      <c r="H12" s="724">
        <f>F12-G12</f>
        <v>-9.0822117300014327E-2</v>
      </c>
      <c r="I12" s="705">
        <f>2^-(H12)</f>
        <v>1.0649768848279992</v>
      </c>
      <c r="K12" s="55" t="s">
        <v>37</v>
      </c>
      <c r="L12" s="55" t="s">
        <v>30</v>
      </c>
      <c r="M12" s="704">
        <v>19.075894881140734</v>
      </c>
      <c r="N12" s="999">
        <v>18.867161850841594</v>
      </c>
      <c r="O12" s="998">
        <v>-0.65431146587104649</v>
      </c>
      <c r="P12" s="997">
        <v>1.2637515234954328</v>
      </c>
      <c r="Q12" s="996">
        <v>0.41645960643024144</v>
      </c>
      <c r="S12" s="54"/>
      <c r="T12" s="55" t="s">
        <v>38</v>
      </c>
      <c r="U12" s="55" t="s">
        <v>30</v>
      </c>
      <c r="V12" s="704">
        <v>18.231772850039739</v>
      </c>
      <c r="W12" s="721">
        <v>18.070737417050292</v>
      </c>
      <c r="X12" s="722">
        <v>0.54113763715282914</v>
      </c>
      <c r="Y12" s="724">
        <v>2.4592006265193085</v>
      </c>
      <c r="Z12" s="705">
        <v>0.18184729533706392</v>
      </c>
      <c r="AB12" s="54"/>
      <c r="AC12" s="55" t="s">
        <v>39</v>
      </c>
      <c r="AD12" s="55" t="s">
        <v>30</v>
      </c>
      <c r="AE12" s="704">
        <v>20.782261044498419</v>
      </c>
      <c r="AF12" s="721">
        <v>20.708841824844779</v>
      </c>
      <c r="AG12" s="722">
        <v>0.34053530005575539</v>
      </c>
      <c r="AH12" s="724">
        <v>2.2585982894222347</v>
      </c>
      <c r="AI12" s="705">
        <v>0.20897491955851222</v>
      </c>
      <c r="AK12" s="54"/>
      <c r="AL12" s="55" t="s">
        <v>40</v>
      </c>
      <c r="AM12" s="55" t="s">
        <v>30</v>
      </c>
      <c r="AN12" s="704"/>
      <c r="AO12" s="721">
        <v>18.889539797770254</v>
      </c>
      <c r="AP12" s="722">
        <v>-1.478766727018769</v>
      </c>
      <c r="AQ12" s="724">
        <v>0.43929626234771035</v>
      </c>
      <c r="AR12" s="705">
        <v>0.73749426602714252</v>
      </c>
      <c r="AT12" s="54"/>
      <c r="AU12" s="55" t="s">
        <v>41</v>
      </c>
      <c r="AV12" s="55" t="s">
        <v>30</v>
      </c>
      <c r="AW12" s="704">
        <v>17.757053056339963</v>
      </c>
      <c r="AX12" s="721">
        <v>17.463924129744729</v>
      </c>
      <c r="AY12" s="722">
        <v>-0.42822188956027674</v>
      </c>
      <c r="AZ12" s="724">
        <v>1.4898410998062026</v>
      </c>
      <c r="BA12" s="705">
        <v>0.35605176271569849</v>
      </c>
    </row>
    <row r="13" spans="1:53">
      <c r="A13" s="803"/>
      <c r="B13" s="803"/>
      <c r="C13" s="55" t="s">
        <v>30</v>
      </c>
      <c r="D13" s="704"/>
      <c r="E13" s="709"/>
      <c r="F13" s="712"/>
      <c r="G13" s="712"/>
      <c r="H13" s="715"/>
      <c r="I13" s="706"/>
      <c r="K13" s="55" t="s">
        <v>37</v>
      </c>
      <c r="L13" s="55" t="s">
        <v>30</v>
      </c>
      <c r="M13" s="704">
        <v>18.406873824484691</v>
      </c>
      <c r="N13" s="1000"/>
      <c r="O13" s="712"/>
      <c r="P13" s="715"/>
      <c r="Q13" s="706"/>
      <c r="S13" s="54"/>
      <c r="T13" s="55" t="s">
        <v>38</v>
      </c>
      <c r="U13" s="55" t="s">
        <v>30</v>
      </c>
      <c r="V13" s="704">
        <v>17.814542702637389</v>
      </c>
      <c r="W13" s="709"/>
      <c r="X13" s="712"/>
      <c r="Y13" s="715"/>
      <c r="Z13" s="706"/>
      <c r="AB13" s="54"/>
      <c r="AC13" s="55" t="s">
        <v>39</v>
      </c>
      <c r="AD13" s="55" t="s">
        <v>30</v>
      </c>
      <c r="AE13" s="704">
        <v>20.61187312903003</v>
      </c>
      <c r="AF13" s="709"/>
      <c r="AG13" s="712"/>
      <c r="AH13" s="715"/>
      <c r="AI13" s="706"/>
      <c r="AK13" s="54"/>
      <c r="AL13" s="55" t="s">
        <v>40</v>
      </c>
      <c r="AM13" s="55" t="s">
        <v>30</v>
      </c>
      <c r="AN13" s="704"/>
      <c r="AO13" s="709"/>
      <c r="AP13" s="712"/>
      <c r="AQ13" s="715"/>
      <c r="AR13" s="706"/>
      <c r="AT13" s="54"/>
      <c r="AU13" s="55" t="s">
        <v>41</v>
      </c>
      <c r="AV13" s="55" t="s">
        <v>30</v>
      </c>
      <c r="AW13" s="704">
        <v>17.049854392433758</v>
      </c>
      <c r="AX13" s="709"/>
      <c r="AY13" s="712"/>
      <c r="AZ13" s="715"/>
      <c r="BA13" s="706"/>
    </row>
    <row r="14" spans="1:53">
      <c r="A14" s="803"/>
      <c r="B14" s="803"/>
      <c r="C14" s="58" t="s">
        <v>30</v>
      </c>
      <c r="D14" s="704">
        <v>18.462687911600511</v>
      </c>
      <c r="E14" s="710"/>
      <c r="F14" s="713"/>
      <c r="G14" s="712"/>
      <c r="H14" s="716"/>
      <c r="I14" s="707"/>
      <c r="K14" s="58" t="s">
        <v>37</v>
      </c>
      <c r="L14" s="58" t="s">
        <v>30</v>
      </c>
      <c r="M14" s="704">
        <v>19.118716846899353</v>
      </c>
      <c r="N14" s="1001"/>
      <c r="O14" s="713"/>
      <c r="P14" s="716"/>
      <c r="Q14" s="707"/>
      <c r="S14" s="57"/>
      <c r="T14" s="58" t="s">
        <v>38</v>
      </c>
      <c r="U14" s="58" t="s">
        <v>30</v>
      </c>
      <c r="V14" s="704">
        <v>18.165896698473752</v>
      </c>
      <c r="W14" s="710"/>
      <c r="X14" s="713"/>
      <c r="Y14" s="716"/>
      <c r="Z14" s="707"/>
      <c r="AB14" s="57"/>
      <c r="AC14" s="58" t="s">
        <v>39</v>
      </c>
      <c r="AD14" s="58" t="s">
        <v>30</v>
      </c>
      <c r="AE14" s="704">
        <v>20.732391301005883</v>
      </c>
      <c r="AF14" s="710"/>
      <c r="AG14" s="713"/>
      <c r="AH14" s="716"/>
      <c r="AI14" s="707"/>
      <c r="AK14" s="57"/>
      <c r="AL14" s="58" t="s">
        <v>40</v>
      </c>
      <c r="AM14" s="58" t="s">
        <v>30</v>
      </c>
      <c r="AN14" s="704">
        <v>18.889539797770254</v>
      </c>
      <c r="AO14" s="710"/>
      <c r="AP14" s="713"/>
      <c r="AQ14" s="716"/>
      <c r="AR14" s="707"/>
      <c r="AT14" s="57"/>
      <c r="AU14" s="58" t="s">
        <v>41</v>
      </c>
      <c r="AV14" s="58" t="s">
        <v>30</v>
      </c>
      <c r="AW14" s="704">
        <v>17.58486494046047</v>
      </c>
      <c r="AX14" s="710"/>
      <c r="AY14" s="713"/>
      <c r="AZ14" s="716"/>
      <c r="BA14" s="707"/>
    </row>
    <row r="15" spans="1:53">
      <c r="A15" s="803"/>
      <c r="B15" s="803"/>
      <c r="C15" s="66" t="s">
        <v>30</v>
      </c>
      <c r="D15" s="704">
        <v>19.064070821592281</v>
      </c>
      <c r="E15" s="708">
        <f>AVERAGE(D15:D17)</f>
        <v>18.704449846483065</v>
      </c>
      <c r="F15" s="711">
        <f>E15-E6</f>
        <v>-1.9586608295493342</v>
      </c>
      <c r="G15" s="712"/>
      <c r="H15" s="714">
        <f>F15-G12</f>
        <v>-4.0597840182854839E-2</v>
      </c>
      <c r="I15" s="717">
        <f>2^-(H15)</f>
        <v>1.0285399563027453</v>
      </c>
      <c r="K15" s="66" t="s">
        <v>37</v>
      </c>
      <c r="L15" s="66" t="s">
        <v>30</v>
      </c>
      <c r="M15" s="704">
        <v>18.110746914358998</v>
      </c>
      <c r="N15" s="1003">
        <v>17.858328581742018</v>
      </c>
      <c r="O15" s="711">
        <v>0.20961932678935469</v>
      </c>
      <c r="P15" s="714">
        <v>2.127682316155834</v>
      </c>
      <c r="Q15" s="717">
        <v>0.22882517416806944</v>
      </c>
      <c r="S15" s="65"/>
      <c r="T15" s="66" t="s">
        <v>38</v>
      </c>
      <c r="U15" s="66" t="s">
        <v>30</v>
      </c>
      <c r="V15" s="704">
        <v>18.20799314863595</v>
      </c>
      <c r="W15" s="708">
        <v>17.751046339467454</v>
      </c>
      <c r="X15" s="711">
        <v>-0.10768171556419404</v>
      </c>
      <c r="Y15" s="714">
        <v>1.8103812738022853</v>
      </c>
      <c r="Z15" s="717">
        <v>0.28511556899167234</v>
      </c>
      <c r="AB15" s="65"/>
      <c r="AC15" s="66" t="s">
        <v>39</v>
      </c>
      <c r="AD15" s="66" t="s">
        <v>30</v>
      </c>
      <c r="AE15" s="704">
        <v>20.940366404374231</v>
      </c>
      <c r="AF15" s="708">
        <v>20.798443608062296</v>
      </c>
      <c r="AG15" s="711">
        <v>0.4775987448409218</v>
      </c>
      <c r="AH15" s="714">
        <v>2.3956617342074011</v>
      </c>
      <c r="AI15" s="717">
        <v>0.19003515898692047</v>
      </c>
      <c r="AK15" s="65"/>
      <c r="AL15" s="66" t="s">
        <v>40</v>
      </c>
      <c r="AM15" s="66" t="s">
        <v>30</v>
      </c>
      <c r="AN15" s="704"/>
      <c r="AO15" s="708">
        <v>19.140344501885117</v>
      </c>
      <c r="AP15" s="711">
        <v>-1.1805003613362572</v>
      </c>
      <c r="AQ15" s="714">
        <v>0.7375626280302221</v>
      </c>
      <c r="AR15" s="717">
        <v>0.59975175196635033</v>
      </c>
      <c r="AT15" s="65"/>
      <c r="AU15" s="66" t="s">
        <v>41</v>
      </c>
      <c r="AV15" s="66" t="s">
        <v>30</v>
      </c>
      <c r="AW15" s="704">
        <v>17.027959315005688</v>
      </c>
      <c r="AX15" s="708">
        <v>17.037904990187926</v>
      </c>
      <c r="AY15" s="711">
        <v>-1.424587211703443</v>
      </c>
      <c r="AZ15" s="714">
        <v>0.4934757776630363</v>
      </c>
      <c r="BA15" s="717">
        <v>0.71031173355441313</v>
      </c>
    </row>
    <row r="16" spans="1:53">
      <c r="A16" s="803"/>
      <c r="B16" s="803"/>
      <c r="C16" s="68" t="s">
        <v>30</v>
      </c>
      <c r="D16" s="704">
        <v>18.513968588103985</v>
      </c>
      <c r="E16" s="709"/>
      <c r="F16" s="712"/>
      <c r="G16" s="712"/>
      <c r="H16" s="715"/>
      <c r="I16" s="706"/>
      <c r="K16" s="68" t="s">
        <v>37</v>
      </c>
      <c r="L16" s="68" t="s">
        <v>30</v>
      </c>
      <c r="M16" s="704">
        <v>18.26473888946574</v>
      </c>
      <c r="N16" s="1000"/>
      <c r="O16" s="712"/>
      <c r="P16" s="715"/>
      <c r="Q16" s="706"/>
      <c r="S16" s="67"/>
      <c r="T16" s="68" t="s">
        <v>38</v>
      </c>
      <c r="U16" s="68" t="s">
        <v>30</v>
      </c>
      <c r="V16" s="704">
        <v>17.825047307737904</v>
      </c>
      <c r="W16" s="709"/>
      <c r="X16" s="712"/>
      <c r="Y16" s="715"/>
      <c r="Z16" s="706"/>
      <c r="AB16" s="67"/>
      <c r="AC16" s="68" t="s">
        <v>39</v>
      </c>
      <c r="AD16" s="68" t="s">
        <v>30</v>
      </c>
      <c r="AE16" s="704">
        <v>20.643332001521266</v>
      </c>
      <c r="AF16" s="709"/>
      <c r="AG16" s="712"/>
      <c r="AH16" s="715"/>
      <c r="AI16" s="706"/>
      <c r="AK16" s="67"/>
      <c r="AL16" s="68" t="s">
        <v>40</v>
      </c>
      <c r="AM16" s="68" t="s">
        <v>30</v>
      </c>
      <c r="AN16" s="704"/>
      <c r="AO16" s="709"/>
      <c r="AP16" s="712"/>
      <c r="AQ16" s="715"/>
      <c r="AR16" s="706"/>
      <c r="AT16" s="67"/>
      <c r="AU16" s="68" t="s">
        <v>41</v>
      </c>
      <c r="AV16" s="68" t="s">
        <v>30</v>
      </c>
      <c r="AW16" s="704">
        <v>17.047850665370163</v>
      </c>
      <c r="AX16" s="709"/>
      <c r="AY16" s="712"/>
      <c r="AZ16" s="715"/>
      <c r="BA16" s="706"/>
    </row>
    <row r="17" spans="1:53">
      <c r="A17" s="803"/>
      <c r="B17" s="803"/>
      <c r="C17" s="71" t="s">
        <v>30</v>
      </c>
      <c r="D17" s="704">
        <v>18.535310129752929</v>
      </c>
      <c r="E17" s="710"/>
      <c r="F17" s="713"/>
      <c r="G17" s="712"/>
      <c r="H17" s="716"/>
      <c r="I17" s="707"/>
      <c r="K17" s="71" t="s">
        <v>37</v>
      </c>
      <c r="L17" s="71" t="s">
        <v>30</v>
      </c>
      <c r="M17" s="704">
        <v>17.199499941401321</v>
      </c>
      <c r="N17" s="1001"/>
      <c r="O17" s="713"/>
      <c r="P17" s="716"/>
      <c r="Q17" s="707"/>
      <c r="S17" s="70"/>
      <c r="T17" s="71" t="s">
        <v>38</v>
      </c>
      <c r="U17" s="71" t="s">
        <v>30</v>
      </c>
      <c r="V17" s="704">
        <v>17.220098562028511</v>
      </c>
      <c r="W17" s="710"/>
      <c r="X17" s="713"/>
      <c r="Y17" s="716"/>
      <c r="Z17" s="707"/>
      <c r="AB17" s="70"/>
      <c r="AC17" s="71" t="s">
        <v>39</v>
      </c>
      <c r="AD17" s="71" t="s">
        <v>30</v>
      </c>
      <c r="AE17" s="704">
        <v>20.811632418291389</v>
      </c>
      <c r="AF17" s="710"/>
      <c r="AG17" s="713"/>
      <c r="AH17" s="716"/>
      <c r="AI17" s="707"/>
      <c r="AK17" s="70"/>
      <c r="AL17" s="71" t="s">
        <v>40</v>
      </c>
      <c r="AM17" s="71" t="s">
        <v>30</v>
      </c>
      <c r="AN17" s="704">
        <v>19.140344501885117</v>
      </c>
      <c r="AO17" s="710"/>
      <c r="AP17" s="713"/>
      <c r="AQ17" s="716"/>
      <c r="AR17" s="707"/>
      <c r="AT17" s="70"/>
      <c r="AU17" s="71" t="s">
        <v>41</v>
      </c>
      <c r="AV17" s="71" t="s">
        <v>30</v>
      </c>
      <c r="AW17" s="704"/>
      <c r="AX17" s="710"/>
      <c r="AY17" s="713"/>
      <c r="AZ17" s="716"/>
      <c r="BA17" s="707"/>
    </row>
    <row r="18" spans="1:53">
      <c r="A18" s="803"/>
      <c r="B18" s="803"/>
      <c r="C18" s="74" t="s">
        <v>30</v>
      </c>
      <c r="D18" s="704"/>
      <c r="E18" s="708">
        <f>AVERAGE(D18:D20)</f>
        <v>18.819591766930031</v>
      </c>
      <c r="F18" s="711">
        <f>E18-E9</f>
        <v>-1.7866430318836102</v>
      </c>
      <c r="G18" s="712"/>
      <c r="H18" s="715">
        <f>F18-G12</f>
        <v>0.13141995748286917</v>
      </c>
      <c r="I18" s="706">
        <f>2^-(H18)</f>
        <v>0.91293246367781822</v>
      </c>
      <c r="K18" s="74" t="s">
        <v>37</v>
      </c>
      <c r="L18" s="74" t="s">
        <v>30</v>
      </c>
      <c r="M18" s="704">
        <v>18.900067207767414</v>
      </c>
      <c r="N18" s="1003">
        <v>19.467776970479548</v>
      </c>
      <c r="O18" s="711">
        <v>0.22595980686342543</v>
      </c>
      <c r="P18" s="714">
        <v>2.1440227962299048</v>
      </c>
      <c r="Q18" s="717">
        <v>0.22624804071495339</v>
      </c>
      <c r="S18" s="73"/>
      <c r="T18" s="74" t="s">
        <v>38</v>
      </c>
      <c r="U18" s="74" t="s">
        <v>30</v>
      </c>
      <c r="V18" s="704">
        <v>19.470671868946397</v>
      </c>
      <c r="W18" s="709">
        <v>19.791471587394216</v>
      </c>
      <c r="X18" s="712">
        <v>0.52771698896745178</v>
      </c>
      <c r="Y18" s="715">
        <v>2.4457799783339311</v>
      </c>
      <c r="Z18" s="706">
        <v>0.18354681961763783</v>
      </c>
      <c r="AB18" s="73"/>
      <c r="AC18" s="74" t="s">
        <v>39</v>
      </c>
      <c r="AD18" s="74" t="s">
        <v>30</v>
      </c>
      <c r="AE18" s="704">
        <v>19.517558457877428</v>
      </c>
      <c r="AF18" s="709">
        <v>19.396313687564309</v>
      </c>
      <c r="AG18" s="712">
        <v>0.15855547856618202</v>
      </c>
      <c r="AH18" s="715">
        <v>2.0766184679326614</v>
      </c>
      <c r="AI18" s="706">
        <v>0.23706942787035645</v>
      </c>
      <c r="AK18" s="73"/>
      <c r="AL18" s="74" t="s">
        <v>40</v>
      </c>
      <c r="AM18" s="74" t="s">
        <v>30</v>
      </c>
      <c r="AN18" s="704">
        <v>18.605618044132733</v>
      </c>
      <c r="AO18" s="709">
        <v>18.605618044132733</v>
      </c>
      <c r="AP18" s="712">
        <v>-0.63214016486539393</v>
      </c>
      <c r="AQ18" s="715">
        <v>1.2859228245010854</v>
      </c>
      <c r="AR18" s="706">
        <v>0.41010839334156768</v>
      </c>
      <c r="AT18" s="73"/>
      <c r="AU18" s="74" t="s">
        <v>41</v>
      </c>
      <c r="AV18" s="74" t="s">
        <v>30</v>
      </c>
      <c r="AW18" s="704">
        <v>17.210056637713151</v>
      </c>
      <c r="AX18" s="709">
        <v>17.638862079581724</v>
      </c>
      <c r="AY18" s="712">
        <v>-0.93175957406356247</v>
      </c>
      <c r="AZ18" s="715">
        <v>0.98630341530291687</v>
      </c>
      <c r="BA18" s="706">
        <v>0.50476947882741152</v>
      </c>
    </row>
    <row r="19" spans="1:53">
      <c r="A19" s="803"/>
      <c r="B19" s="803"/>
      <c r="C19" s="55" t="s">
        <v>30</v>
      </c>
      <c r="D19" s="704">
        <v>18.819591766930031</v>
      </c>
      <c r="E19" s="709"/>
      <c r="F19" s="712"/>
      <c r="G19" s="712"/>
      <c r="H19" s="715"/>
      <c r="I19" s="706"/>
      <c r="K19" s="55" t="s">
        <v>37</v>
      </c>
      <c r="L19" s="55" t="s">
        <v>30</v>
      </c>
      <c r="M19" s="704">
        <v>19.699336468410358</v>
      </c>
      <c r="N19" s="1000"/>
      <c r="O19" s="712"/>
      <c r="P19" s="715"/>
      <c r="Q19" s="706"/>
      <c r="S19" s="54"/>
      <c r="T19" s="55" t="s">
        <v>38</v>
      </c>
      <c r="U19" s="55" t="s">
        <v>30</v>
      </c>
      <c r="V19" s="704">
        <v>19.983830177209931</v>
      </c>
      <c r="W19" s="709"/>
      <c r="X19" s="712"/>
      <c r="Y19" s="715"/>
      <c r="Z19" s="706"/>
      <c r="AB19" s="54"/>
      <c r="AC19" s="55" t="s">
        <v>39</v>
      </c>
      <c r="AD19" s="55" t="s">
        <v>30</v>
      </c>
      <c r="AE19" s="704">
        <v>19.226150418631413</v>
      </c>
      <c r="AF19" s="709"/>
      <c r="AG19" s="712"/>
      <c r="AH19" s="715"/>
      <c r="AI19" s="706"/>
      <c r="AK19" s="54"/>
      <c r="AL19" s="55" t="s">
        <v>40</v>
      </c>
      <c r="AM19" s="55" t="s">
        <v>30</v>
      </c>
      <c r="AN19" s="704"/>
      <c r="AO19" s="709"/>
      <c r="AP19" s="712"/>
      <c r="AQ19" s="715"/>
      <c r="AR19" s="706"/>
      <c r="AT19" s="54"/>
      <c r="AU19" s="55" t="s">
        <v>41</v>
      </c>
      <c r="AV19" s="55" t="s">
        <v>30</v>
      </c>
      <c r="AW19" s="704">
        <v>17.842125865132637</v>
      </c>
      <c r="AX19" s="709"/>
      <c r="AY19" s="712"/>
      <c r="AZ19" s="715"/>
      <c r="BA19" s="706"/>
    </row>
    <row r="20" spans="1:53" ht="16.2" thickBot="1">
      <c r="A20" s="804"/>
      <c r="B20" s="804"/>
      <c r="C20" s="63" t="s">
        <v>30</v>
      </c>
      <c r="D20" s="704"/>
      <c r="E20" s="725"/>
      <c r="F20" s="723"/>
      <c r="G20" s="723"/>
      <c r="H20" s="726"/>
      <c r="I20" s="727"/>
      <c r="K20" s="63" t="s">
        <v>37</v>
      </c>
      <c r="L20" s="63" t="s">
        <v>30</v>
      </c>
      <c r="M20" s="704">
        <v>19.803927235260872</v>
      </c>
      <c r="N20" s="1004"/>
      <c r="O20" s="723"/>
      <c r="P20" s="726"/>
      <c r="Q20" s="727"/>
      <c r="S20" s="62"/>
      <c r="T20" s="63" t="s">
        <v>38</v>
      </c>
      <c r="U20" s="63" t="s">
        <v>30</v>
      </c>
      <c r="V20" s="704">
        <v>19.919912716026325</v>
      </c>
      <c r="W20" s="725"/>
      <c r="X20" s="723"/>
      <c r="Y20" s="726"/>
      <c r="Z20" s="727"/>
      <c r="AB20" s="62"/>
      <c r="AC20" s="63" t="s">
        <v>39</v>
      </c>
      <c r="AD20" s="63" t="s">
        <v>30</v>
      </c>
      <c r="AE20" s="704">
        <v>19.445232186184086</v>
      </c>
      <c r="AF20" s="725"/>
      <c r="AG20" s="723"/>
      <c r="AH20" s="726"/>
      <c r="AI20" s="727"/>
      <c r="AK20" s="62"/>
      <c r="AL20" s="63" t="s">
        <v>40</v>
      </c>
      <c r="AM20" s="63" t="s">
        <v>30</v>
      </c>
      <c r="AN20" s="704"/>
      <c r="AO20" s="725"/>
      <c r="AP20" s="723"/>
      <c r="AQ20" s="726"/>
      <c r="AR20" s="727"/>
      <c r="AT20" s="62"/>
      <c r="AU20" s="63" t="s">
        <v>41</v>
      </c>
      <c r="AV20" s="63" t="s">
        <v>30</v>
      </c>
      <c r="AW20" s="704">
        <v>17.864403735899387</v>
      </c>
      <c r="AX20" s="725"/>
      <c r="AY20" s="723"/>
      <c r="AZ20" s="726"/>
      <c r="BA20" s="727"/>
    </row>
    <row r="21" spans="1:53">
      <c r="A21" s="813" t="s">
        <v>11</v>
      </c>
      <c r="B21" s="813" t="str">
        <f>C21</f>
        <v>GFP</v>
      </c>
      <c r="C21" s="76" t="s">
        <v>31</v>
      </c>
      <c r="D21" s="704"/>
      <c r="E21" s="741">
        <f>AVERAGE(D21:D23)</f>
        <v>16.943588531954774</v>
      </c>
      <c r="F21" s="742">
        <f>E21-E3</f>
        <v>-3.5279844863122314</v>
      </c>
      <c r="G21" s="742">
        <f>AVERAGE(F21:F29)</f>
        <v>-3.4483380465492885</v>
      </c>
      <c r="H21" s="744">
        <f>F21-G21</f>
        <v>-7.9646439762942833E-2</v>
      </c>
      <c r="I21" s="728">
        <f>2^-(H21)</f>
        <v>1.0567590296487801</v>
      </c>
      <c r="K21" s="76" t="s">
        <v>37</v>
      </c>
      <c r="L21" s="76" t="s">
        <v>31</v>
      </c>
      <c r="M21" s="704">
        <v>16.600800237895555</v>
      </c>
      <c r="N21" s="1008">
        <v>16.600800237895555</v>
      </c>
      <c r="O21" s="742">
        <v>-2.9206730788170852</v>
      </c>
      <c r="P21" s="744">
        <v>0.52766496773220339</v>
      </c>
      <c r="Q21" s="728">
        <v>0.6936765560603535</v>
      </c>
      <c r="S21" s="75"/>
      <c r="T21" s="76" t="s">
        <v>38</v>
      </c>
      <c r="U21" s="76" t="s">
        <v>31</v>
      </c>
      <c r="V21" s="704">
        <v>15.922190602009032</v>
      </c>
      <c r="W21" s="741">
        <v>15.773217206084988</v>
      </c>
      <c r="X21" s="742">
        <v>-1.7563825738124752</v>
      </c>
      <c r="Y21" s="744">
        <v>1.6919554727368133</v>
      </c>
      <c r="Z21" s="728">
        <v>0.30950712517343493</v>
      </c>
      <c r="AB21" s="75"/>
      <c r="AC21" s="76" t="s">
        <v>39</v>
      </c>
      <c r="AD21" s="76" t="s">
        <v>31</v>
      </c>
      <c r="AE21" s="704">
        <v>16.841050123001715</v>
      </c>
      <c r="AF21" s="741">
        <v>17.183716511598039</v>
      </c>
      <c r="AG21" s="742">
        <v>-3.1845900131909843</v>
      </c>
      <c r="AH21" s="744">
        <v>0.26374803335830421</v>
      </c>
      <c r="AI21" s="728">
        <v>0.83292122784334754</v>
      </c>
      <c r="AK21" s="75"/>
      <c r="AL21" s="76" t="s">
        <v>40</v>
      </c>
      <c r="AM21" s="76" t="s">
        <v>31</v>
      </c>
      <c r="AN21" s="704"/>
      <c r="AO21" s="741">
        <v>16.070528043612832</v>
      </c>
      <c r="AP21" s="742">
        <v>-4.2977784811761914</v>
      </c>
      <c r="AQ21" s="744">
        <v>-0.84944043462690288</v>
      </c>
      <c r="AR21" s="728">
        <v>1.8018019406838788</v>
      </c>
      <c r="AT21" s="75"/>
      <c r="AU21" s="76" t="s">
        <v>41</v>
      </c>
      <c r="AV21" s="76" t="s">
        <v>31</v>
      </c>
      <c r="AW21" s="704">
        <v>17.881815201972984</v>
      </c>
      <c r="AX21" s="741">
        <v>17.753016264764923</v>
      </c>
      <c r="AY21" s="742">
        <v>-0.13912975454008247</v>
      </c>
      <c r="AZ21" s="744">
        <v>3.3092082920092061</v>
      </c>
      <c r="BA21" s="728">
        <v>0.10088556770406254</v>
      </c>
    </row>
    <row r="22" spans="1:53">
      <c r="A22" s="814"/>
      <c r="B22" s="814"/>
      <c r="C22" s="78" t="s">
        <v>31</v>
      </c>
      <c r="D22" s="704">
        <v>16.943588531954774</v>
      </c>
      <c r="E22" s="732"/>
      <c r="F22" s="735"/>
      <c r="G22" s="735"/>
      <c r="H22" s="738"/>
      <c r="I22" s="729"/>
      <c r="K22" s="78" t="s">
        <v>37</v>
      </c>
      <c r="L22" s="78" t="s">
        <v>31</v>
      </c>
      <c r="M22" s="704"/>
      <c r="N22" s="1006"/>
      <c r="O22" s="735"/>
      <c r="P22" s="738"/>
      <c r="Q22" s="729"/>
      <c r="S22" s="77"/>
      <c r="T22" s="78" t="s">
        <v>38</v>
      </c>
      <c r="U22" s="78" t="s">
        <v>31</v>
      </c>
      <c r="V22" s="704">
        <v>15.811654098248056</v>
      </c>
      <c r="W22" s="732"/>
      <c r="X22" s="735"/>
      <c r="Y22" s="738"/>
      <c r="Z22" s="729"/>
      <c r="AB22" s="77"/>
      <c r="AC22" s="78" t="s">
        <v>39</v>
      </c>
      <c r="AD22" s="78" t="s">
        <v>31</v>
      </c>
      <c r="AE22" s="704">
        <v>17.676383039030512</v>
      </c>
      <c r="AF22" s="732"/>
      <c r="AG22" s="735"/>
      <c r="AH22" s="738"/>
      <c r="AI22" s="729"/>
      <c r="AK22" s="77"/>
      <c r="AL22" s="78" t="s">
        <v>40</v>
      </c>
      <c r="AM22" s="78" t="s">
        <v>31</v>
      </c>
      <c r="AN22" s="704"/>
      <c r="AO22" s="732"/>
      <c r="AP22" s="735"/>
      <c r="AQ22" s="738"/>
      <c r="AR22" s="729"/>
      <c r="AT22" s="77"/>
      <c r="AU22" s="78" t="s">
        <v>41</v>
      </c>
      <c r="AV22" s="78" t="s">
        <v>31</v>
      </c>
      <c r="AW22" s="704">
        <v>17.88213440112483</v>
      </c>
      <c r="AX22" s="732"/>
      <c r="AY22" s="735"/>
      <c r="AZ22" s="738"/>
      <c r="BA22" s="729"/>
    </row>
    <row r="23" spans="1:53">
      <c r="A23" s="814"/>
      <c r="B23" s="814"/>
      <c r="C23" s="81" t="s">
        <v>31</v>
      </c>
      <c r="D23" s="704"/>
      <c r="E23" s="733"/>
      <c r="F23" s="736"/>
      <c r="G23" s="735"/>
      <c r="H23" s="739"/>
      <c r="I23" s="730"/>
      <c r="K23" s="81" t="s">
        <v>37</v>
      </c>
      <c r="L23" s="81" t="s">
        <v>31</v>
      </c>
      <c r="M23" s="704"/>
      <c r="N23" s="1007"/>
      <c r="O23" s="736"/>
      <c r="P23" s="739"/>
      <c r="Q23" s="730"/>
      <c r="S23" s="80"/>
      <c r="T23" s="81" t="s">
        <v>38</v>
      </c>
      <c r="U23" s="81" t="s">
        <v>31</v>
      </c>
      <c r="V23" s="704">
        <v>15.585806917997882</v>
      </c>
      <c r="W23" s="733"/>
      <c r="X23" s="736"/>
      <c r="Y23" s="739"/>
      <c r="Z23" s="730"/>
      <c r="AB23" s="80"/>
      <c r="AC23" s="81" t="s">
        <v>39</v>
      </c>
      <c r="AD23" s="81" t="s">
        <v>31</v>
      </c>
      <c r="AE23" s="704">
        <v>17.033716372761894</v>
      </c>
      <c r="AF23" s="733"/>
      <c r="AG23" s="736"/>
      <c r="AH23" s="739"/>
      <c r="AI23" s="730"/>
      <c r="AK23" s="80"/>
      <c r="AL23" s="81" t="s">
        <v>40</v>
      </c>
      <c r="AM23" s="81" t="s">
        <v>31</v>
      </c>
      <c r="AN23" s="704">
        <v>16.070528043612832</v>
      </c>
      <c r="AO23" s="733"/>
      <c r="AP23" s="736"/>
      <c r="AQ23" s="739"/>
      <c r="AR23" s="730"/>
      <c r="AT23" s="80"/>
      <c r="AU23" s="81" t="s">
        <v>41</v>
      </c>
      <c r="AV23" s="81" t="s">
        <v>31</v>
      </c>
      <c r="AW23" s="704">
        <v>17.495099191196957</v>
      </c>
      <c r="AX23" s="733"/>
      <c r="AY23" s="736"/>
      <c r="AZ23" s="739"/>
      <c r="BA23" s="730"/>
    </row>
    <row r="24" spans="1:53">
      <c r="A24" s="814"/>
      <c r="B24" s="814"/>
      <c r="C24" s="92" t="s">
        <v>31</v>
      </c>
      <c r="D24" s="704">
        <v>16.977030861222111</v>
      </c>
      <c r="E24" s="731">
        <f>AVERAGE(D24:D26)</f>
        <v>17.116927661653545</v>
      </c>
      <c r="F24" s="734">
        <f>E24-E6</f>
        <v>-3.5461830143788546</v>
      </c>
      <c r="G24" s="735"/>
      <c r="H24" s="737">
        <f>F24-G21</f>
        <v>-9.7844967829566087E-2</v>
      </c>
      <c r="I24" s="740">
        <f>2^-(H24)</f>
        <v>1.0701736912628501</v>
      </c>
      <c r="K24" s="92" t="s">
        <v>37</v>
      </c>
      <c r="L24" s="92" t="s">
        <v>31</v>
      </c>
      <c r="M24" s="704"/>
      <c r="N24" s="1005">
        <v>16.07447110011271</v>
      </c>
      <c r="O24" s="734">
        <v>-1.5742381548399536</v>
      </c>
      <c r="P24" s="737">
        <v>1.874099891709335</v>
      </c>
      <c r="Q24" s="740">
        <v>0.27279708023362575</v>
      </c>
      <c r="S24" s="91"/>
      <c r="T24" s="92" t="s">
        <v>38</v>
      </c>
      <c r="U24" s="92" t="s">
        <v>31</v>
      </c>
      <c r="V24" s="704">
        <v>16.128998746245919</v>
      </c>
      <c r="W24" s="731">
        <v>16.041095448894833</v>
      </c>
      <c r="X24" s="734">
        <v>-1.8176326061368151</v>
      </c>
      <c r="Y24" s="737">
        <v>1.6307054404124735</v>
      </c>
      <c r="Z24" s="740">
        <v>0.32293026453366291</v>
      </c>
      <c r="AB24" s="91"/>
      <c r="AC24" s="92" t="s">
        <v>39</v>
      </c>
      <c r="AD24" s="92" t="s">
        <v>31</v>
      </c>
      <c r="AE24" s="704">
        <v>17.051925299446928</v>
      </c>
      <c r="AF24" s="731">
        <v>17.080362200791274</v>
      </c>
      <c r="AG24" s="734">
        <v>-3.2404826624301002</v>
      </c>
      <c r="AH24" s="737">
        <v>0.20785538411918836</v>
      </c>
      <c r="AI24" s="740">
        <v>0.86582335138058319</v>
      </c>
      <c r="AK24" s="91"/>
      <c r="AL24" s="92" t="s">
        <v>40</v>
      </c>
      <c r="AM24" s="92" t="s">
        <v>31</v>
      </c>
      <c r="AN24" s="704">
        <v>17.3535680734457</v>
      </c>
      <c r="AO24" s="731">
        <v>17.3535680734457</v>
      </c>
      <c r="AP24" s="734">
        <v>-2.9672767897756742</v>
      </c>
      <c r="AQ24" s="737">
        <v>0.48106125677361433</v>
      </c>
      <c r="AR24" s="740">
        <v>0.71645040408527227</v>
      </c>
      <c r="AT24" s="91"/>
      <c r="AU24" s="92" t="s">
        <v>41</v>
      </c>
      <c r="AV24" s="92" t="s">
        <v>31</v>
      </c>
      <c r="AW24" s="704">
        <v>17.104970039891363</v>
      </c>
      <c r="AX24" s="731">
        <v>17.155893697968576</v>
      </c>
      <c r="AY24" s="734">
        <v>-1.3065985039227925</v>
      </c>
      <c r="AZ24" s="737">
        <v>2.141739542626496</v>
      </c>
      <c r="BA24" s="740">
        <v>0.22660639132566865</v>
      </c>
    </row>
    <row r="25" spans="1:53">
      <c r="A25" s="814"/>
      <c r="B25" s="814"/>
      <c r="C25" s="94" t="s">
        <v>31</v>
      </c>
      <c r="D25" s="704">
        <v>17.030315742282202</v>
      </c>
      <c r="E25" s="732"/>
      <c r="F25" s="735"/>
      <c r="G25" s="735"/>
      <c r="H25" s="738"/>
      <c r="I25" s="729"/>
      <c r="K25" s="94" t="s">
        <v>37</v>
      </c>
      <c r="L25" s="94" t="s">
        <v>31</v>
      </c>
      <c r="M25" s="704"/>
      <c r="N25" s="1006"/>
      <c r="O25" s="735"/>
      <c r="P25" s="738"/>
      <c r="Q25" s="729"/>
      <c r="S25" s="93"/>
      <c r="T25" s="94" t="s">
        <v>38</v>
      </c>
      <c r="U25" s="94" t="s">
        <v>31</v>
      </c>
      <c r="V25" s="704">
        <v>16.086531621692252</v>
      </c>
      <c r="W25" s="732"/>
      <c r="X25" s="735"/>
      <c r="Y25" s="738"/>
      <c r="Z25" s="729"/>
      <c r="AB25" s="93"/>
      <c r="AC25" s="94" t="s">
        <v>39</v>
      </c>
      <c r="AD25" s="94" t="s">
        <v>31</v>
      </c>
      <c r="AE25" s="704">
        <v>17.062129929325359</v>
      </c>
      <c r="AF25" s="732"/>
      <c r="AG25" s="735"/>
      <c r="AH25" s="738"/>
      <c r="AI25" s="729"/>
      <c r="AK25" s="93"/>
      <c r="AL25" s="94" t="s">
        <v>40</v>
      </c>
      <c r="AM25" s="94" t="s">
        <v>31</v>
      </c>
      <c r="AN25" s="704"/>
      <c r="AO25" s="732"/>
      <c r="AP25" s="735"/>
      <c r="AQ25" s="738"/>
      <c r="AR25" s="729"/>
      <c r="AT25" s="93"/>
      <c r="AU25" s="94" t="s">
        <v>41</v>
      </c>
      <c r="AV25" s="94" t="s">
        <v>31</v>
      </c>
      <c r="AW25" s="704">
        <v>17.341916412946269</v>
      </c>
      <c r="AX25" s="732"/>
      <c r="AY25" s="735"/>
      <c r="AZ25" s="738"/>
      <c r="BA25" s="729"/>
    </row>
    <row r="26" spans="1:53">
      <c r="A26" s="814"/>
      <c r="B26" s="814"/>
      <c r="C26" s="97" t="s">
        <v>31</v>
      </c>
      <c r="D26" s="704">
        <v>17.343436381456314</v>
      </c>
      <c r="E26" s="733"/>
      <c r="F26" s="736"/>
      <c r="G26" s="735"/>
      <c r="H26" s="739"/>
      <c r="I26" s="730"/>
      <c r="K26" s="97" t="s">
        <v>37</v>
      </c>
      <c r="L26" s="97" t="s">
        <v>31</v>
      </c>
      <c r="M26" s="704">
        <v>16.07447110011271</v>
      </c>
      <c r="N26" s="1007"/>
      <c r="O26" s="736"/>
      <c r="P26" s="739"/>
      <c r="Q26" s="730"/>
      <c r="S26" s="96"/>
      <c r="T26" s="97" t="s">
        <v>38</v>
      </c>
      <c r="U26" s="97" t="s">
        <v>31</v>
      </c>
      <c r="V26" s="704">
        <v>15.907755978746323</v>
      </c>
      <c r="W26" s="733"/>
      <c r="X26" s="736"/>
      <c r="Y26" s="739"/>
      <c r="Z26" s="730"/>
      <c r="AB26" s="96"/>
      <c r="AC26" s="97" t="s">
        <v>39</v>
      </c>
      <c r="AD26" s="97" t="s">
        <v>31</v>
      </c>
      <c r="AE26" s="704">
        <v>17.127031373601532</v>
      </c>
      <c r="AF26" s="733"/>
      <c r="AG26" s="736"/>
      <c r="AH26" s="739"/>
      <c r="AI26" s="730"/>
      <c r="AK26" s="96"/>
      <c r="AL26" s="97" t="s">
        <v>40</v>
      </c>
      <c r="AM26" s="97" t="s">
        <v>31</v>
      </c>
      <c r="AN26" s="704"/>
      <c r="AO26" s="733"/>
      <c r="AP26" s="736"/>
      <c r="AQ26" s="739"/>
      <c r="AR26" s="730"/>
      <c r="AT26" s="96"/>
      <c r="AU26" s="97" t="s">
        <v>41</v>
      </c>
      <c r="AV26" s="97" t="s">
        <v>31</v>
      </c>
      <c r="AW26" s="704">
        <v>17.020794641068093</v>
      </c>
      <c r="AX26" s="733"/>
      <c r="AY26" s="736"/>
      <c r="AZ26" s="739"/>
      <c r="BA26" s="730"/>
    </row>
    <row r="27" spans="1:53">
      <c r="A27" s="814"/>
      <c r="B27" s="814"/>
      <c r="C27" s="84" t="s">
        <v>31</v>
      </c>
      <c r="D27" s="704">
        <v>17.335388159856862</v>
      </c>
      <c r="E27" s="732">
        <f>AVERAGE(D27:D29)</f>
        <v>17.335388159856862</v>
      </c>
      <c r="F27" s="735">
        <f>E27-E9</f>
        <v>-3.2708466389567796</v>
      </c>
      <c r="G27" s="735"/>
      <c r="H27" s="738">
        <f>F27-G21</f>
        <v>0.17749140759250892</v>
      </c>
      <c r="I27" s="729">
        <f>2^-(H27)</f>
        <v>0.88423919643229809</v>
      </c>
      <c r="K27" s="84" t="s">
        <v>37</v>
      </c>
      <c r="L27" s="84" t="s">
        <v>31</v>
      </c>
      <c r="M27" s="704"/>
      <c r="N27" s="1005">
        <v>17.143926897862556</v>
      </c>
      <c r="O27" s="734">
        <v>-2.0978902657535663</v>
      </c>
      <c r="P27" s="737">
        <v>1.3504477807957223</v>
      </c>
      <c r="Q27" s="740">
        <v>0.39217030902202554</v>
      </c>
      <c r="S27" s="83"/>
      <c r="T27" s="84" t="s">
        <v>38</v>
      </c>
      <c r="U27" s="84" t="s">
        <v>31</v>
      </c>
      <c r="V27" s="704">
        <v>17.518759251853076</v>
      </c>
      <c r="W27" s="732">
        <v>17.51146441952395</v>
      </c>
      <c r="X27" s="735">
        <v>-1.7522901789028147</v>
      </c>
      <c r="Y27" s="738">
        <v>1.6960478676464739</v>
      </c>
      <c r="Z27" s="729">
        <v>0.30863041140502617</v>
      </c>
      <c r="AB27" s="83"/>
      <c r="AC27" s="84" t="s">
        <v>39</v>
      </c>
      <c r="AD27" s="84" t="s">
        <v>31</v>
      </c>
      <c r="AE27" s="704">
        <v>16.316158228269089</v>
      </c>
      <c r="AF27" s="732">
        <v>16.183706564387236</v>
      </c>
      <c r="AG27" s="735">
        <v>-3.0540516446108903</v>
      </c>
      <c r="AH27" s="738">
        <v>0.39428640193839826</v>
      </c>
      <c r="AI27" s="729">
        <v>0.76086562937329794</v>
      </c>
      <c r="AK27" s="83"/>
      <c r="AL27" s="84" t="s">
        <v>40</v>
      </c>
      <c r="AM27" s="84" t="s">
        <v>31</v>
      </c>
      <c r="AN27" s="704"/>
      <c r="AO27" s="732">
        <v>16.596312043410322</v>
      </c>
      <c r="AP27" s="735">
        <v>-2.641446165587805</v>
      </c>
      <c r="AQ27" s="738">
        <v>0.80689188096148357</v>
      </c>
      <c r="AR27" s="729">
        <v>0.57161200408115909</v>
      </c>
      <c r="AT27" s="83"/>
      <c r="AU27" s="84" t="s">
        <v>41</v>
      </c>
      <c r="AV27" s="84" t="s">
        <v>31</v>
      </c>
      <c r="AW27" s="704">
        <v>17.680240096215869</v>
      </c>
      <c r="AX27" s="732">
        <v>17.653168923147188</v>
      </c>
      <c r="AY27" s="735">
        <v>-0.91745273049809839</v>
      </c>
      <c r="AZ27" s="738">
        <v>2.5308853160511902</v>
      </c>
      <c r="BA27" s="729">
        <v>0.17303246880483028</v>
      </c>
    </row>
    <row r="28" spans="1:53">
      <c r="A28" s="814"/>
      <c r="B28" s="814"/>
      <c r="C28" s="78" t="s">
        <v>31</v>
      </c>
      <c r="D28" s="704"/>
      <c r="E28" s="732"/>
      <c r="F28" s="735"/>
      <c r="G28" s="735"/>
      <c r="H28" s="738"/>
      <c r="I28" s="729"/>
      <c r="K28" s="78" t="s">
        <v>37</v>
      </c>
      <c r="L28" s="78" t="s">
        <v>31</v>
      </c>
      <c r="M28" s="704">
        <v>17.143926897862556</v>
      </c>
      <c r="N28" s="1006"/>
      <c r="O28" s="735"/>
      <c r="P28" s="738"/>
      <c r="Q28" s="729"/>
      <c r="S28" s="77"/>
      <c r="T28" s="78" t="s">
        <v>38</v>
      </c>
      <c r="U28" s="78" t="s">
        <v>31</v>
      </c>
      <c r="V28" s="704">
        <v>17.499383846288985</v>
      </c>
      <c r="W28" s="732"/>
      <c r="X28" s="735"/>
      <c r="Y28" s="738"/>
      <c r="Z28" s="729"/>
      <c r="AB28" s="77"/>
      <c r="AC28" s="78" t="s">
        <v>39</v>
      </c>
      <c r="AD28" s="78" t="s">
        <v>31</v>
      </c>
      <c r="AE28" s="704">
        <v>16.177652586889238</v>
      </c>
      <c r="AF28" s="732"/>
      <c r="AG28" s="735"/>
      <c r="AH28" s="738"/>
      <c r="AI28" s="729"/>
      <c r="AK28" s="77"/>
      <c r="AL28" s="78" t="s">
        <v>40</v>
      </c>
      <c r="AM28" s="78" t="s">
        <v>31</v>
      </c>
      <c r="AN28" s="704"/>
      <c r="AO28" s="732"/>
      <c r="AP28" s="735"/>
      <c r="AQ28" s="738"/>
      <c r="AR28" s="729"/>
      <c r="AT28" s="77"/>
      <c r="AU28" s="78" t="s">
        <v>41</v>
      </c>
      <c r="AV28" s="78" t="s">
        <v>31</v>
      </c>
      <c r="AW28" s="704">
        <v>17.747487235267052</v>
      </c>
      <c r="AX28" s="732"/>
      <c r="AY28" s="735"/>
      <c r="AZ28" s="738"/>
      <c r="BA28" s="729"/>
    </row>
    <row r="29" spans="1:53" ht="16.2" thickBot="1">
      <c r="A29" s="815"/>
      <c r="B29" s="815"/>
      <c r="C29" s="86" t="s">
        <v>31</v>
      </c>
      <c r="D29" s="704"/>
      <c r="E29" s="745"/>
      <c r="F29" s="743"/>
      <c r="G29" s="743"/>
      <c r="H29" s="746"/>
      <c r="I29" s="747"/>
      <c r="K29" s="86" t="s">
        <v>37</v>
      </c>
      <c r="L29" s="86" t="s">
        <v>31</v>
      </c>
      <c r="M29" s="704"/>
      <c r="N29" s="1012"/>
      <c r="O29" s="743"/>
      <c r="P29" s="746"/>
      <c r="Q29" s="747"/>
      <c r="S29" s="85"/>
      <c r="T29" s="86" t="s">
        <v>38</v>
      </c>
      <c r="U29" s="86" t="s">
        <v>31</v>
      </c>
      <c r="V29" s="704">
        <v>17.516250160429792</v>
      </c>
      <c r="W29" s="745"/>
      <c r="X29" s="743"/>
      <c r="Y29" s="746"/>
      <c r="Z29" s="747"/>
      <c r="AB29" s="85"/>
      <c r="AC29" s="86" t="s">
        <v>39</v>
      </c>
      <c r="AD29" s="86" t="s">
        <v>31</v>
      </c>
      <c r="AE29" s="704">
        <v>16.057308878003383</v>
      </c>
      <c r="AF29" s="745"/>
      <c r="AG29" s="743"/>
      <c r="AH29" s="746"/>
      <c r="AI29" s="747"/>
      <c r="AK29" s="85"/>
      <c r="AL29" s="86" t="s">
        <v>40</v>
      </c>
      <c r="AM29" s="86" t="s">
        <v>31</v>
      </c>
      <c r="AN29" s="704">
        <v>16.596312043410322</v>
      </c>
      <c r="AO29" s="745"/>
      <c r="AP29" s="743"/>
      <c r="AQ29" s="746"/>
      <c r="AR29" s="747"/>
      <c r="AT29" s="85"/>
      <c r="AU29" s="86" t="s">
        <v>41</v>
      </c>
      <c r="AV29" s="86" t="s">
        <v>31</v>
      </c>
      <c r="AW29" s="704">
        <v>17.531779437958647</v>
      </c>
      <c r="AX29" s="745"/>
      <c r="AY29" s="743"/>
      <c r="AZ29" s="746"/>
      <c r="BA29" s="747"/>
    </row>
    <row r="30" spans="1:53">
      <c r="A30" s="816" t="s">
        <v>12</v>
      </c>
      <c r="B30" s="816" t="str">
        <f>C30</f>
        <v>RIG1</v>
      </c>
      <c r="C30" s="426" t="s">
        <v>32</v>
      </c>
      <c r="D30" s="704">
        <v>23.476036525142462</v>
      </c>
      <c r="E30" s="769">
        <f>AVERAGE(D30:D32)</f>
        <v>23.163157790588798</v>
      </c>
      <c r="F30" s="770">
        <f>E30-E3</f>
        <v>2.6915847723217929</v>
      </c>
      <c r="G30" s="770">
        <f>AVERAGE(F30:F38)</f>
        <v>2.6314181872532707</v>
      </c>
      <c r="H30" s="771">
        <f>F30-G30</f>
        <v>6.0166585068522238E-2</v>
      </c>
      <c r="I30" s="748">
        <f>2^-(H30)</f>
        <v>0.95915336143878294</v>
      </c>
      <c r="K30" s="426" t="s">
        <v>37</v>
      </c>
      <c r="L30" s="426" t="s">
        <v>32</v>
      </c>
      <c r="M30" s="704">
        <v>24.460534186027552</v>
      </c>
      <c r="N30" s="1009">
        <v>24.687105580803859</v>
      </c>
      <c r="O30" s="770">
        <v>5.1656322640912187</v>
      </c>
      <c r="P30" s="771">
        <v>2.534214076837948</v>
      </c>
      <c r="Q30" s="748">
        <v>0.17263368756432385</v>
      </c>
      <c r="S30" s="425"/>
      <c r="T30" s="426" t="s">
        <v>38</v>
      </c>
      <c r="U30" s="426" t="s">
        <v>32</v>
      </c>
      <c r="V30" s="704">
        <v>22.166063226707706</v>
      </c>
      <c r="W30" s="769">
        <v>22.456961884407246</v>
      </c>
      <c r="X30" s="770">
        <v>4.9273621045097826</v>
      </c>
      <c r="Y30" s="771">
        <v>2.2959439172565119</v>
      </c>
      <c r="Z30" s="748">
        <v>0.203634806630802</v>
      </c>
      <c r="AB30" s="425"/>
      <c r="AC30" s="426" t="s">
        <v>39</v>
      </c>
      <c r="AD30" s="426" t="s">
        <v>32</v>
      </c>
      <c r="AE30" s="704">
        <v>25.472785937890357</v>
      </c>
      <c r="AF30" s="769">
        <v>25.678378367940315</v>
      </c>
      <c r="AG30" s="770">
        <v>5.3100718431512917</v>
      </c>
      <c r="AH30" s="771">
        <v>2.678653655898021</v>
      </c>
      <c r="AI30" s="748">
        <v>0.15618700662081381</v>
      </c>
      <c r="AK30" s="425"/>
      <c r="AL30" s="426" t="s">
        <v>40</v>
      </c>
      <c r="AM30" s="426" t="s">
        <v>32</v>
      </c>
      <c r="AN30" s="704"/>
      <c r="AO30" s="769">
        <v>23.872663503788537</v>
      </c>
      <c r="AP30" s="770">
        <v>3.5043569789995139</v>
      </c>
      <c r="AQ30" s="771">
        <v>0.87293879174624323</v>
      </c>
      <c r="AR30" s="748">
        <v>0.54603343857545172</v>
      </c>
      <c r="AT30" s="425"/>
      <c r="AU30" s="426" t="s">
        <v>41</v>
      </c>
      <c r="AV30" s="426" t="s">
        <v>32</v>
      </c>
      <c r="AW30" s="704">
        <v>18.612326663442055</v>
      </c>
      <c r="AX30" s="769">
        <v>20.316361789589468</v>
      </c>
      <c r="AY30" s="770">
        <v>2.4242157702844622</v>
      </c>
      <c r="AZ30" s="771">
        <v>-0.20720241696880848</v>
      </c>
      <c r="BA30" s="748">
        <v>1.1544473806070179</v>
      </c>
    </row>
    <row r="31" spans="1:53">
      <c r="A31" s="817"/>
      <c r="B31" s="817"/>
      <c r="C31" s="430" t="s">
        <v>33</v>
      </c>
      <c r="D31" s="704">
        <v>22.869573064947296</v>
      </c>
      <c r="E31" s="752"/>
      <c r="F31" s="755"/>
      <c r="G31" s="755"/>
      <c r="H31" s="758"/>
      <c r="I31" s="749"/>
      <c r="K31" s="430" t="s">
        <v>37</v>
      </c>
      <c r="L31" s="430" t="s">
        <v>33</v>
      </c>
      <c r="M31" s="704">
        <v>24.813533216467938</v>
      </c>
      <c r="N31" s="1010"/>
      <c r="O31" s="755"/>
      <c r="P31" s="758"/>
      <c r="Q31" s="749"/>
      <c r="S31" s="429"/>
      <c r="T31" s="430" t="s">
        <v>38</v>
      </c>
      <c r="U31" s="430" t="s">
        <v>33</v>
      </c>
      <c r="V31" s="704">
        <v>22.59461256043766</v>
      </c>
      <c r="W31" s="752"/>
      <c r="X31" s="755"/>
      <c r="Y31" s="758"/>
      <c r="Z31" s="749"/>
      <c r="AB31" s="429"/>
      <c r="AC31" s="430" t="s">
        <v>39</v>
      </c>
      <c r="AD31" s="430" t="s">
        <v>33</v>
      </c>
      <c r="AE31" s="704">
        <v>25.410769687865695</v>
      </c>
      <c r="AF31" s="752"/>
      <c r="AG31" s="755"/>
      <c r="AH31" s="758"/>
      <c r="AI31" s="749"/>
      <c r="AK31" s="429"/>
      <c r="AL31" s="430" t="s">
        <v>40</v>
      </c>
      <c r="AM31" s="430" t="s">
        <v>33</v>
      </c>
      <c r="AN31" s="704">
        <v>23.872663503788537</v>
      </c>
      <c r="AO31" s="752"/>
      <c r="AP31" s="755"/>
      <c r="AQ31" s="758"/>
      <c r="AR31" s="749"/>
      <c r="AT31" s="429"/>
      <c r="AU31" s="430" t="s">
        <v>41</v>
      </c>
      <c r="AV31" s="430" t="s">
        <v>33</v>
      </c>
      <c r="AW31" s="704">
        <v>20.891992100119822</v>
      </c>
      <c r="AX31" s="752"/>
      <c r="AY31" s="755"/>
      <c r="AZ31" s="758"/>
      <c r="BA31" s="749"/>
    </row>
    <row r="32" spans="1:53">
      <c r="A32" s="817"/>
      <c r="B32" s="817"/>
      <c r="C32" s="433" t="s">
        <v>32</v>
      </c>
      <c r="D32" s="704">
        <v>23.143863781676629</v>
      </c>
      <c r="E32" s="753"/>
      <c r="F32" s="756"/>
      <c r="G32" s="755"/>
      <c r="H32" s="759"/>
      <c r="I32" s="761"/>
      <c r="K32" s="433" t="s">
        <v>37</v>
      </c>
      <c r="L32" s="433" t="s">
        <v>32</v>
      </c>
      <c r="M32" s="704">
        <v>24.787249339916094</v>
      </c>
      <c r="N32" s="1011"/>
      <c r="O32" s="765"/>
      <c r="P32" s="767"/>
      <c r="Q32" s="750"/>
      <c r="S32" s="432"/>
      <c r="T32" s="433" t="s">
        <v>38</v>
      </c>
      <c r="U32" s="433" t="s">
        <v>32</v>
      </c>
      <c r="V32" s="704">
        <v>22.610209866076374</v>
      </c>
      <c r="W32" s="763"/>
      <c r="X32" s="765"/>
      <c r="Y32" s="767"/>
      <c r="Z32" s="750"/>
      <c r="AB32" s="432"/>
      <c r="AC32" s="433" t="s">
        <v>39</v>
      </c>
      <c r="AD32" s="433" t="s">
        <v>32</v>
      </c>
      <c r="AE32" s="704">
        <v>26.151579478064889</v>
      </c>
      <c r="AF32" s="763"/>
      <c r="AG32" s="765"/>
      <c r="AH32" s="767"/>
      <c r="AI32" s="750"/>
      <c r="AK32" s="432"/>
      <c r="AL32" s="433" t="s">
        <v>40</v>
      </c>
      <c r="AM32" s="433" t="s">
        <v>32</v>
      </c>
      <c r="AN32" s="704"/>
      <c r="AO32" s="763"/>
      <c r="AP32" s="765"/>
      <c r="AQ32" s="767"/>
      <c r="AR32" s="750"/>
      <c r="AT32" s="432"/>
      <c r="AU32" s="433" t="s">
        <v>41</v>
      </c>
      <c r="AV32" s="433" t="s">
        <v>32</v>
      </c>
      <c r="AW32" s="704">
        <v>21.444766605206532</v>
      </c>
      <c r="AX32" s="763"/>
      <c r="AY32" s="765"/>
      <c r="AZ32" s="767"/>
      <c r="BA32" s="750"/>
    </row>
    <row r="33" spans="1:53">
      <c r="A33" s="817"/>
      <c r="B33" s="817"/>
      <c r="C33" s="436" t="s">
        <v>32</v>
      </c>
      <c r="D33" s="704">
        <v>22.517453635260445</v>
      </c>
      <c r="E33" s="751">
        <f>AVERAGE(D33:D35)</f>
        <v>23.159823250743301</v>
      </c>
      <c r="F33" s="754">
        <f>E33-E6</f>
        <v>2.4967125747109016</v>
      </c>
      <c r="G33" s="755"/>
      <c r="H33" s="757">
        <f>F33-G30</f>
        <v>-0.13470561254236912</v>
      </c>
      <c r="I33" s="760">
        <f>2^-(H33)</f>
        <v>1.097868766595461</v>
      </c>
      <c r="K33" s="436" t="s">
        <v>37</v>
      </c>
      <c r="L33" s="436" t="s">
        <v>32</v>
      </c>
      <c r="M33" s="704">
        <v>23.405030986419888</v>
      </c>
      <c r="N33" s="1013">
        <v>23.058127234522534</v>
      </c>
      <c r="O33" s="764">
        <v>5.40941797956987</v>
      </c>
      <c r="P33" s="766">
        <v>2.7779997923165993</v>
      </c>
      <c r="Q33" s="768">
        <v>0.14579369221131175</v>
      </c>
      <c r="S33" s="435"/>
      <c r="T33" s="436" t="s">
        <v>38</v>
      </c>
      <c r="U33" s="436" t="s">
        <v>32</v>
      </c>
      <c r="V33" s="704">
        <v>23.192043247030803</v>
      </c>
      <c r="W33" s="762">
        <v>22.837375976301271</v>
      </c>
      <c r="X33" s="764">
        <v>4.9786479212696229</v>
      </c>
      <c r="Y33" s="766">
        <v>2.3472297340163522</v>
      </c>
      <c r="Z33" s="768">
        <v>0.19652302631767085</v>
      </c>
      <c r="AB33" s="435"/>
      <c r="AC33" s="436" t="s">
        <v>39</v>
      </c>
      <c r="AD33" s="436" t="s">
        <v>32</v>
      </c>
      <c r="AE33" s="704">
        <v>25.275397442054029</v>
      </c>
      <c r="AF33" s="762">
        <v>25.101687661432084</v>
      </c>
      <c r="AG33" s="764">
        <v>4.7808427982107098</v>
      </c>
      <c r="AH33" s="766">
        <v>2.1494246109574391</v>
      </c>
      <c r="AI33" s="768">
        <v>0.22540249484585298</v>
      </c>
      <c r="AK33" s="435"/>
      <c r="AL33" s="436" t="s">
        <v>40</v>
      </c>
      <c r="AM33" s="436" t="s">
        <v>32</v>
      </c>
      <c r="AN33" s="704"/>
      <c r="AO33" s="762">
        <v>25.16487776518936</v>
      </c>
      <c r="AP33" s="764">
        <v>4.8440329019679851</v>
      </c>
      <c r="AQ33" s="766">
        <v>2.2126147147147144</v>
      </c>
      <c r="AR33" s="768">
        <v>0.21574294462620933</v>
      </c>
      <c r="AT33" s="435"/>
      <c r="AU33" s="436" t="s">
        <v>41</v>
      </c>
      <c r="AV33" s="436" t="s">
        <v>32</v>
      </c>
      <c r="AW33" s="704">
        <v>21.342363318034558</v>
      </c>
      <c r="AX33" s="762">
        <v>20.844305713791773</v>
      </c>
      <c r="AY33" s="764">
        <v>2.381813511900404</v>
      </c>
      <c r="AZ33" s="766">
        <v>-0.24960467535286668</v>
      </c>
      <c r="BA33" s="768">
        <v>1.1888812952940768</v>
      </c>
    </row>
    <row r="34" spans="1:53">
      <c r="A34" s="817"/>
      <c r="B34" s="817"/>
      <c r="C34" s="438" t="s">
        <v>32</v>
      </c>
      <c r="D34" s="704"/>
      <c r="E34" s="752"/>
      <c r="F34" s="755"/>
      <c r="G34" s="755"/>
      <c r="H34" s="758"/>
      <c r="I34" s="749"/>
      <c r="K34" s="438" t="s">
        <v>37</v>
      </c>
      <c r="L34" s="438" t="s">
        <v>32</v>
      </c>
      <c r="M34" s="704">
        <v>22.860995428239612</v>
      </c>
      <c r="N34" s="1010"/>
      <c r="O34" s="755"/>
      <c r="P34" s="758"/>
      <c r="Q34" s="749"/>
      <c r="S34" s="437"/>
      <c r="T34" s="438" t="s">
        <v>38</v>
      </c>
      <c r="U34" s="438" t="s">
        <v>32</v>
      </c>
      <c r="V34" s="704">
        <v>22.731145987642073</v>
      </c>
      <c r="W34" s="752"/>
      <c r="X34" s="755"/>
      <c r="Y34" s="758"/>
      <c r="Z34" s="749"/>
      <c r="AB34" s="437"/>
      <c r="AC34" s="438" t="s">
        <v>39</v>
      </c>
      <c r="AD34" s="438" t="s">
        <v>32</v>
      </c>
      <c r="AE34" s="704">
        <v>24.94878445728466</v>
      </c>
      <c r="AF34" s="752"/>
      <c r="AG34" s="755"/>
      <c r="AH34" s="758"/>
      <c r="AI34" s="749"/>
      <c r="AK34" s="437"/>
      <c r="AL34" s="438" t="s">
        <v>40</v>
      </c>
      <c r="AM34" s="438" t="s">
        <v>32</v>
      </c>
      <c r="AN34" s="704">
        <v>25.16487776518936</v>
      </c>
      <c r="AO34" s="752"/>
      <c r="AP34" s="755"/>
      <c r="AQ34" s="758"/>
      <c r="AR34" s="749"/>
      <c r="AT34" s="437"/>
      <c r="AU34" s="438" t="s">
        <v>41</v>
      </c>
      <c r="AV34" s="438" t="s">
        <v>32</v>
      </c>
      <c r="AW34" s="704">
        <v>20.810300504000708</v>
      </c>
      <c r="AX34" s="752"/>
      <c r="AY34" s="755"/>
      <c r="AZ34" s="758"/>
      <c r="BA34" s="749"/>
    </row>
    <row r="35" spans="1:53">
      <c r="A35" s="817"/>
      <c r="B35" s="817"/>
      <c r="C35" s="441" t="s">
        <v>32</v>
      </c>
      <c r="D35" s="704">
        <v>23.802192866226157</v>
      </c>
      <c r="E35" s="753"/>
      <c r="F35" s="756"/>
      <c r="G35" s="755"/>
      <c r="H35" s="759"/>
      <c r="I35" s="761"/>
      <c r="K35" s="441" t="s">
        <v>37</v>
      </c>
      <c r="L35" s="441" t="s">
        <v>32</v>
      </c>
      <c r="M35" s="704">
        <v>22.908355288908105</v>
      </c>
      <c r="N35" s="1011"/>
      <c r="O35" s="765"/>
      <c r="P35" s="767"/>
      <c r="Q35" s="750"/>
      <c r="S35" s="440"/>
      <c r="T35" s="441" t="s">
        <v>38</v>
      </c>
      <c r="U35" s="441" t="s">
        <v>32</v>
      </c>
      <c r="V35" s="704">
        <v>22.588938694230933</v>
      </c>
      <c r="W35" s="763"/>
      <c r="X35" s="765"/>
      <c r="Y35" s="767"/>
      <c r="Z35" s="750"/>
      <c r="AB35" s="440"/>
      <c r="AC35" s="441" t="s">
        <v>39</v>
      </c>
      <c r="AD35" s="441" t="s">
        <v>32</v>
      </c>
      <c r="AE35" s="704">
        <v>25.080881084957561</v>
      </c>
      <c r="AF35" s="763"/>
      <c r="AG35" s="765"/>
      <c r="AH35" s="767"/>
      <c r="AI35" s="750"/>
      <c r="AK35" s="440"/>
      <c r="AL35" s="441" t="s">
        <v>40</v>
      </c>
      <c r="AM35" s="441" t="s">
        <v>32</v>
      </c>
      <c r="AN35" s="704"/>
      <c r="AO35" s="763"/>
      <c r="AP35" s="765"/>
      <c r="AQ35" s="767"/>
      <c r="AR35" s="750"/>
      <c r="AT35" s="440"/>
      <c r="AU35" s="441" t="s">
        <v>41</v>
      </c>
      <c r="AV35" s="441" t="s">
        <v>32</v>
      </c>
      <c r="AW35" s="704">
        <v>20.380253319340049</v>
      </c>
      <c r="AX35" s="763"/>
      <c r="AY35" s="765"/>
      <c r="AZ35" s="767"/>
      <c r="BA35" s="750"/>
    </row>
    <row r="36" spans="1:53">
      <c r="A36" s="817"/>
      <c r="B36" s="817"/>
      <c r="C36" s="444" t="s">
        <v>32</v>
      </c>
      <c r="D36" s="704">
        <v>23.312192013540759</v>
      </c>
      <c r="E36" s="751">
        <f>AVERAGE(D36:D38)</f>
        <v>23.312192013540759</v>
      </c>
      <c r="F36" s="754">
        <f>E36-E9</f>
        <v>2.7059572147271176</v>
      </c>
      <c r="G36" s="755"/>
      <c r="H36" s="757">
        <f>F36-G30</f>
        <v>7.4539027473846886E-2</v>
      </c>
      <c r="I36" s="760">
        <f>2^-(H36)</f>
        <v>0.94964550492661126</v>
      </c>
      <c r="K36" s="444" t="s">
        <v>37</v>
      </c>
      <c r="L36" s="444" t="s">
        <v>32</v>
      </c>
      <c r="M36" s="704">
        <v>23.888904661741563</v>
      </c>
      <c r="N36" s="1013">
        <v>24.327915167269367</v>
      </c>
      <c r="O36" s="764">
        <v>5.0860980036532446</v>
      </c>
      <c r="P36" s="766">
        <v>2.4546798163999739</v>
      </c>
      <c r="Q36" s="768">
        <v>0.18241802336506574</v>
      </c>
      <c r="S36" s="443"/>
      <c r="T36" s="444" t="s">
        <v>38</v>
      </c>
      <c r="U36" s="444" t="s">
        <v>32</v>
      </c>
      <c r="V36" s="704">
        <v>23.489881807178264</v>
      </c>
      <c r="W36" s="752">
        <v>24.055426444986196</v>
      </c>
      <c r="X36" s="755">
        <v>4.7916718465594315</v>
      </c>
      <c r="Y36" s="758">
        <v>2.1602536593061608</v>
      </c>
      <c r="Z36" s="768">
        <v>0.22371692963999809</v>
      </c>
      <c r="AB36" s="443"/>
      <c r="AC36" s="444" t="s">
        <v>39</v>
      </c>
      <c r="AD36" s="444" t="s">
        <v>32</v>
      </c>
      <c r="AE36" s="704">
        <v>24.107454749003765</v>
      </c>
      <c r="AF36" s="752">
        <v>24.533775435091218</v>
      </c>
      <c r="AG36" s="755">
        <v>5.2960172260930918</v>
      </c>
      <c r="AH36" s="758">
        <v>2.6645990388398211</v>
      </c>
      <c r="AI36" s="768">
        <v>0.15771600324890289</v>
      </c>
      <c r="AK36" s="443"/>
      <c r="AL36" s="444" t="s">
        <v>40</v>
      </c>
      <c r="AM36" s="444" t="s">
        <v>32</v>
      </c>
      <c r="AN36" s="704"/>
      <c r="AO36" s="752">
        <v>23.900992112403969</v>
      </c>
      <c r="AP36" s="755">
        <v>4.6632339034058425</v>
      </c>
      <c r="AQ36" s="758">
        <v>2.0318157161525718</v>
      </c>
      <c r="AR36" s="768">
        <v>0.24454710379394859</v>
      </c>
      <c r="AT36" s="443"/>
      <c r="AU36" s="444" t="s">
        <v>41</v>
      </c>
      <c r="AV36" s="444" t="s">
        <v>32</v>
      </c>
      <c r="AW36" s="704">
        <v>20.902435795023123</v>
      </c>
      <c r="AX36" s="752">
        <v>21.015581412190809</v>
      </c>
      <c r="AY36" s="755">
        <v>2.4449597585455223</v>
      </c>
      <c r="AZ36" s="758">
        <v>-0.18645842870774842</v>
      </c>
      <c r="BA36" s="768">
        <v>1.1379667691170592</v>
      </c>
    </row>
    <row r="37" spans="1:53">
      <c r="A37" s="817"/>
      <c r="B37" s="817"/>
      <c r="C37" s="430" t="s">
        <v>32</v>
      </c>
      <c r="D37" s="704"/>
      <c r="E37" s="752"/>
      <c r="F37" s="755"/>
      <c r="G37" s="755"/>
      <c r="H37" s="758"/>
      <c r="I37" s="749"/>
      <c r="K37" s="430" t="s">
        <v>37</v>
      </c>
      <c r="L37" s="430" t="s">
        <v>32</v>
      </c>
      <c r="M37" s="704">
        <v>24.240996597643914</v>
      </c>
      <c r="N37" s="1010"/>
      <c r="O37" s="755"/>
      <c r="P37" s="758"/>
      <c r="Q37" s="749"/>
      <c r="S37" s="429"/>
      <c r="T37" s="430" t="s">
        <v>38</v>
      </c>
      <c r="U37" s="430" t="s">
        <v>32</v>
      </c>
      <c r="V37" s="704">
        <v>23.826280839537375</v>
      </c>
      <c r="W37" s="752"/>
      <c r="X37" s="755"/>
      <c r="Y37" s="758"/>
      <c r="Z37" s="749"/>
      <c r="AB37" s="429"/>
      <c r="AC37" s="430" t="s">
        <v>39</v>
      </c>
      <c r="AD37" s="430" t="s">
        <v>32</v>
      </c>
      <c r="AE37" s="704">
        <v>24.719999332116757</v>
      </c>
      <c r="AF37" s="752"/>
      <c r="AG37" s="755"/>
      <c r="AH37" s="758"/>
      <c r="AI37" s="749"/>
      <c r="AK37" s="429"/>
      <c r="AL37" s="430" t="s">
        <v>40</v>
      </c>
      <c r="AM37" s="430" t="s">
        <v>32</v>
      </c>
      <c r="AN37" s="704">
        <v>23.900992112403969</v>
      </c>
      <c r="AO37" s="752"/>
      <c r="AP37" s="755"/>
      <c r="AQ37" s="758"/>
      <c r="AR37" s="749"/>
      <c r="AT37" s="429"/>
      <c r="AU37" s="430" t="s">
        <v>41</v>
      </c>
      <c r="AV37" s="430" t="s">
        <v>32</v>
      </c>
      <c r="AW37" s="704">
        <v>20.70947546847335</v>
      </c>
      <c r="AX37" s="752"/>
      <c r="AY37" s="755"/>
      <c r="AZ37" s="758"/>
      <c r="BA37" s="749"/>
    </row>
    <row r="38" spans="1:53" ht="16.2" thickBot="1">
      <c r="A38" s="817"/>
      <c r="B38" s="825"/>
      <c r="C38" s="448" t="s">
        <v>32</v>
      </c>
      <c r="D38" s="704"/>
      <c r="E38" s="752"/>
      <c r="F38" s="755"/>
      <c r="G38" s="755"/>
      <c r="H38" s="758"/>
      <c r="I38" s="749"/>
      <c r="K38" s="448" t="s">
        <v>37</v>
      </c>
      <c r="L38" s="448" t="s">
        <v>32</v>
      </c>
      <c r="M38" s="704">
        <v>24.853844242422618</v>
      </c>
      <c r="N38" s="1014"/>
      <c r="O38" s="786"/>
      <c r="P38" s="790"/>
      <c r="Q38" s="791"/>
      <c r="S38" s="447"/>
      <c r="T38" s="448" t="s">
        <v>38</v>
      </c>
      <c r="U38" s="448" t="s">
        <v>32</v>
      </c>
      <c r="V38" s="704">
        <v>24.850116688242949</v>
      </c>
      <c r="W38" s="785"/>
      <c r="X38" s="786"/>
      <c r="Y38" s="790"/>
      <c r="Z38" s="791"/>
      <c r="AB38" s="447"/>
      <c r="AC38" s="448" t="s">
        <v>39</v>
      </c>
      <c r="AD38" s="448" t="s">
        <v>32</v>
      </c>
      <c r="AE38" s="704">
        <v>24.773872224153145</v>
      </c>
      <c r="AF38" s="785"/>
      <c r="AG38" s="786"/>
      <c r="AH38" s="790"/>
      <c r="AI38" s="791"/>
      <c r="AK38" s="447"/>
      <c r="AL38" s="448" t="s">
        <v>40</v>
      </c>
      <c r="AM38" s="448" t="s">
        <v>32</v>
      </c>
      <c r="AN38" s="704"/>
      <c r="AO38" s="785"/>
      <c r="AP38" s="786"/>
      <c r="AQ38" s="790"/>
      <c r="AR38" s="791"/>
      <c r="AT38" s="447"/>
      <c r="AU38" s="448" t="s">
        <v>41</v>
      </c>
      <c r="AV38" s="448" t="s">
        <v>32</v>
      </c>
      <c r="AW38" s="704">
        <v>21.434832973075956</v>
      </c>
      <c r="AX38" s="785"/>
      <c r="AY38" s="786"/>
      <c r="AZ38" s="790"/>
      <c r="BA38" s="791"/>
    </row>
    <row r="39" spans="1:53">
      <c r="A39" s="829" t="s">
        <v>14</v>
      </c>
      <c r="B39" s="829" t="str">
        <f>C39</f>
        <v>MDA5</v>
      </c>
      <c r="C39" s="485" t="s">
        <v>34</v>
      </c>
      <c r="D39" s="704"/>
      <c r="E39" s="866">
        <f>AVERAGE(D39:D41)</f>
        <v>25.793674238624199</v>
      </c>
      <c r="F39" s="867">
        <f>E39-E3</f>
        <v>5.3221012203571938</v>
      </c>
      <c r="G39" s="867">
        <f>AVERAGE(F39:F47)</f>
        <v>5.2591612115122892</v>
      </c>
      <c r="H39" s="868">
        <f>F39-G39</f>
        <v>6.2940008844904582E-2</v>
      </c>
      <c r="I39" s="869">
        <f>2^-(H39)</f>
        <v>0.95731126495480512</v>
      </c>
      <c r="K39" s="485" t="s">
        <v>37</v>
      </c>
      <c r="L39" s="485" t="s">
        <v>34</v>
      </c>
      <c r="M39" s="704">
        <v>27.465805721959129</v>
      </c>
      <c r="N39" s="1018">
        <v>27.715893118057522</v>
      </c>
      <c r="O39" s="867">
        <v>8.1944198013448819</v>
      </c>
      <c r="P39" s="868">
        <v>2.9352585898325927</v>
      </c>
      <c r="Q39" s="869">
        <v>0.13073718193499692</v>
      </c>
      <c r="S39" s="484"/>
      <c r="T39" s="485" t="s">
        <v>38</v>
      </c>
      <c r="U39" s="485" t="s">
        <v>34</v>
      </c>
      <c r="V39" s="704">
        <v>24.127260614045717</v>
      </c>
      <c r="W39" s="832">
        <v>24.638741598182708</v>
      </c>
      <c r="X39" s="835">
        <v>7.1091418182852451</v>
      </c>
      <c r="Y39" s="807">
        <v>1.8499806067729558</v>
      </c>
      <c r="Z39" s="839">
        <v>0.27739609685027516</v>
      </c>
      <c r="AB39" s="484"/>
      <c r="AC39" s="485" t="s">
        <v>39</v>
      </c>
      <c r="AD39" s="485" t="s">
        <v>34</v>
      </c>
      <c r="AE39" s="704">
        <v>29.784445523167847</v>
      </c>
      <c r="AF39" s="832">
        <v>29.925614072156577</v>
      </c>
      <c r="AG39" s="835">
        <v>9.5573075473675537</v>
      </c>
      <c r="AH39" s="807">
        <v>4.2981463358552645</v>
      </c>
      <c r="AI39" s="839">
        <v>5.0831043712823501E-2</v>
      </c>
      <c r="AK39" s="484"/>
      <c r="AL39" s="485" t="s">
        <v>40</v>
      </c>
      <c r="AM39" s="485" t="s">
        <v>34</v>
      </c>
      <c r="AN39" s="704">
        <v>28.379429404453191</v>
      </c>
      <c r="AO39" s="832">
        <v>28.858995468917215</v>
      </c>
      <c r="AP39" s="835">
        <v>8.4906889441281912</v>
      </c>
      <c r="AQ39" s="807">
        <v>3.231527732615902</v>
      </c>
      <c r="AR39" s="839">
        <v>0.10646655967893662</v>
      </c>
      <c r="AT39" s="484"/>
      <c r="AU39" s="485" t="s">
        <v>41</v>
      </c>
      <c r="AV39" s="485" t="s">
        <v>34</v>
      </c>
      <c r="AW39" s="704">
        <v>22.486446604859559</v>
      </c>
      <c r="AX39" s="832">
        <v>22.112681192933678</v>
      </c>
      <c r="AY39" s="835">
        <v>4.2205351736286723</v>
      </c>
      <c r="AZ39" s="807">
        <v>-1.038626037883617</v>
      </c>
      <c r="BA39" s="839">
        <v>2.0542703207127788</v>
      </c>
    </row>
    <row r="40" spans="1:53">
      <c r="A40" s="830"/>
      <c r="B40" s="830"/>
      <c r="C40" s="485" t="s">
        <v>34</v>
      </c>
      <c r="D40" s="704">
        <v>25.793674238624199</v>
      </c>
      <c r="E40" s="833"/>
      <c r="F40" s="836"/>
      <c r="G40" s="836"/>
      <c r="H40" s="808"/>
      <c r="I40" s="840"/>
      <c r="K40" s="485" t="s">
        <v>37</v>
      </c>
      <c r="L40" s="485" t="s">
        <v>34</v>
      </c>
      <c r="M40" s="704">
        <v>27.874626512340619</v>
      </c>
      <c r="N40" s="1016"/>
      <c r="O40" s="836"/>
      <c r="P40" s="808"/>
      <c r="Q40" s="840"/>
      <c r="S40" s="484"/>
      <c r="T40" s="485" t="s">
        <v>38</v>
      </c>
      <c r="U40" s="485" t="s">
        <v>34</v>
      </c>
      <c r="V40" s="704">
        <v>24.968373939710695</v>
      </c>
      <c r="W40" s="833"/>
      <c r="X40" s="836"/>
      <c r="Y40" s="808"/>
      <c r="Z40" s="840"/>
      <c r="AB40" s="484"/>
      <c r="AC40" s="485" t="s">
        <v>39</v>
      </c>
      <c r="AD40" s="485" t="s">
        <v>34</v>
      </c>
      <c r="AE40" s="704">
        <v>29.625947708682574</v>
      </c>
      <c r="AF40" s="833"/>
      <c r="AG40" s="836"/>
      <c r="AH40" s="808"/>
      <c r="AI40" s="840"/>
      <c r="AK40" s="484"/>
      <c r="AL40" s="485" t="s">
        <v>40</v>
      </c>
      <c r="AM40" s="485" t="s">
        <v>34</v>
      </c>
      <c r="AN40" s="704">
        <v>28.779787682518588</v>
      </c>
      <c r="AO40" s="833"/>
      <c r="AP40" s="836"/>
      <c r="AQ40" s="808"/>
      <c r="AR40" s="840"/>
      <c r="AT40" s="484"/>
      <c r="AU40" s="485" t="s">
        <v>41</v>
      </c>
      <c r="AV40" s="485" t="s">
        <v>34</v>
      </c>
      <c r="AW40" s="704">
        <v>21.486815890144221</v>
      </c>
      <c r="AX40" s="833"/>
      <c r="AY40" s="836"/>
      <c r="AZ40" s="808"/>
      <c r="BA40" s="840"/>
    </row>
    <row r="41" spans="1:53">
      <c r="A41" s="830"/>
      <c r="B41" s="830"/>
      <c r="C41" s="488" t="s">
        <v>34</v>
      </c>
      <c r="D41" s="704"/>
      <c r="E41" s="834"/>
      <c r="F41" s="837"/>
      <c r="G41" s="836"/>
      <c r="H41" s="809"/>
      <c r="I41" s="841"/>
      <c r="K41" s="488" t="s">
        <v>37</v>
      </c>
      <c r="L41" s="488" t="s">
        <v>34</v>
      </c>
      <c r="M41" s="704">
        <v>27.807247119872827</v>
      </c>
      <c r="N41" s="1017"/>
      <c r="O41" s="837"/>
      <c r="P41" s="809"/>
      <c r="Q41" s="841"/>
      <c r="S41" s="487"/>
      <c r="T41" s="488" t="s">
        <v>38</v>
      </c>
      <c r="U41" s="488" t="s">
        <v>34</v>
      </c>
      <c r="V41" s="704">
        <v>24.820590240791716</v>
      </c>
      <c r="W41" s="834"/>
      <c r="X41" s="837"/>
      <c r="Y41" s="809"/>
      <c r="Z41" s="841"/>
      <c r="AB41" s="487"/>
      <c r="AC41" s="488" t="s">
        <v>39</v>
      </c>
      <c r="AD41" s="488" t="s">
        <v>34</v>
      </c>
      <c r="AE41" s="704">
        <v>30.366448984619304</v>
      </c>
      <c r="AF41" s="834"/>
      <c r="AG41" s="837"/>
      <c r="AH41" s="809"/>
      <c r="AI41" s="841"/>
      <c r="AK41" s="487"/>
      <c r="AL41" s="488" t="s">
        <v>40</v>
      </c>
      <c r="AM41" s="488" t="s">
        <v>34</v>
      </c>
      <c r="AN41" s="704">
        <v>29.417769319779872</v>
      </c>
      <c r="AO41" s="834"/>
      <c r="AP41" s="837"/>
      <c r="AQ41" s="809"/>
      <c r="AR41" s="841"/>
      <c r="AT41" s="487"/>
      <c r="AU41" s="488" t="s">
        <v>41</v>
      </c>
      <c r="AV41" s="488" t="s">
        <v>34</v>
      </c>
      <c r="AW41" s="704">
        <v>22.364781083797247</v>
      </c>
      <c r="AX41" s="834"/>
      <c r="AY41" s="837"/>
      <c r="AZ41" s="809"/>
      <c r="BA41" s="841"/>
    </row>
    <row r="42" spans="1:53">
      <c r="A42" s="830"/>
      <c r="B42" s="830"/>
      <c r="C42" s="502" t="s">
        <v>34</v>
      </c>
      <c r="D42" s="704"/>
      <c r="E42" s="842">
        <f>AVERAGE(D42:D44)</f>
        <v>25.60245952452653</v>
      </c>
      <c r="F42" s="843">
        <f>E42-E6</f>
        <v>4.9393488484941308</v>
      </c>
      <c r="G42" s="836"/>
      <c r="H42" s="844">
        <f>F42-G39</f>
        <v>-0.31981236301815841</v>
      </c>
      <c r="I42" s="839">
        <f>2^-(H42)</f>
        <v>1.2481682015320135</v>
      </c>
      <c r="K42" s="502" t="s">
        <v>37</v>
      </c>
      <c r="L42" s="502" t="s">
        <v>34</v>
      </c>
      <c r="M42" s="704">
        <v>26.29339949218631</v>
      </c>
      <c r="N42" s="1015">
        <v>25.903503380710386</v>
      </c>
      <c r="O42" s="843">
        <v>8.2547941257577229</v>
      </c>
      <c r="P42" s="844">
        <v>2.9956329142454337</v>
      </c>
      <c r="Q42" s="845">
        <v>0.12537895240865263</v>
      </c>
      <c r="S42" s="501"/>
      <c r="T42" s="502" t="s">
        <v>38</v>
      </c>
      <c r="U42" s="502" t="s">
        <v>34</v>
      </c>
      <c r="V42" s="704">
        <v>25.123558358962427</v>
      </c>
      <c r="W42" s="842">
        <v>24.705013292986688</v>
      </c>
      <c r="X42" s="843">
        <v>6.8462852379550405</v>
      </c>
      <c r="Y42" s="844">
        <v>1.5871240264427513</v>
      </c>
      <c r="Z42" s="845">
        <v>0.33283428878825</v>
      </c>
      <c r="AB42" s="501"/>
      <c r="AC42" s="502" t="s">
        <v>39</v>
      </c>
      <c r="AD42" s="502" t="s">
        <v>34</v>
      </c>
      <c r="AE42" s="704">
        <v>30.632737324789012</v>
      </c>
      <c r="AF42" s="842">
        <v>30.749808428968823</v>
      </c>
      <c r="AG42" s="843">
        <v>10.428963565747448</v>
      </c>
      <c r="AH42" s="844">
        <v>5.1698023542351592</v>
      </c>
      <c r="AI42" s="845">
        <v>2.7780139338319788E-2</v>
      </c>
      <c r="AK42" s="501"/>
      <c r="AL42" s="502" t="s">
        <v>40</v>
      </c>
      <c r="AM42" s="502" t="s">
        <v>34</v>
      </c>
      <c r="AN42" s="704">
        <v>31.043947268379654</v>
      </c>
      <c r="AO42" s="842">
        <v>30.796154756808999</v>
      </c>
      <c r="AP42" s="843">
        <v>10.475309893587625</v>
      </c>
      <c r="AQ42" s="844">
        <v>5.2161486820753353</v>
      </c>
      <c r="AR42" s="845">
        <v>2.6901889522691499E-2</v>
      </c>
      <c r="AT42" s="501"/>
      <c r="AU42" s="502" t="s">
        <v>41</v>
      </c>
      <c r="AV42" s="502" t="s">
        <v>34</v>
      </c>
      <c r="AW42" s="704">
        <v>22.948616325123666</v>
      </c>
      <c r="AX42" s="842">
        <v>22.683888595465067</v>
      </c>
      <c r="AY42" s="843">
        <v>4.2213963935736984</v>
      </c>
      <c r="AZ42" s="844">
        <v>-1.0377648179385908</v>
      </c>
      <c r="BA42" s="845">
        <v>2.0530443855219693</v>
      </c>
    </row>
    <row r="43" spans="1:53">
      <c r="A43" s="830"/>
      <c r="B43" s="830"/>
      <c r="C43" s="491" t="s">
        <v>34</v>
      </c>
      <c r="D43" s="704"/>
      <c r="E43" s="833"/>
      <c r="F43" s="836"/>
      <c r="G43" s="836"/>
      <c r="H43" s="808"/>
      <c r="I43" s="840"/>
      <c r="K43" s="491" t="s">
        <v>37</v>
      </c>
      <c r="L43" s="491" t="s">
        <v>34</v>
      </c>
      <c r="M43" s="704">
        <v>25.425134816999254</v>
      </c>
      <c r="N43" s="1016"/>
      <c r="O43" s="836"/>
      <c r="P43" s="808"/>
      <c r="Q43" s="840"/>
      <c r="S43" s="490"/>
      <c r="T43" s="491" t="s">
        <v>38</v>
      </c>
      <c r="U43" s="491" t="s">
        <v>34</v>
      </c>
      <c r="V43" s="704">
        <v>24.375421999502592</v>
      </c>
      <c r="W43" s="833"/>
      <c r="X43" s="836"/>
      <c r="Y43" s="808"/>
      <c r="Z43" s="840"/>
      <c r="AB43" s="490"/>
      <c r="AC43" s="491" t="s">
        <v>39</v>
      </c>
      <c r="AD43" s="491" t="s">
        <v>34</v>
      </c>
      <c r="AE43" s="704">
        <v>30.830580238035168</v>
      </c>
      <c r="AF43" s="833"/>
      <c r="AG43" s="836"/>
      <c r="AH43" s="808"/>
      <c r="AI43" s="840"/>
      <c r="AK43" s="490"/>
      <c r="AL43" s="491" t="s">
        <v>40</v>
      </c>
      <c r="AM43" s="491" t="s">
        <v>34</v>
      </c>
      <c r="AN43" s="704">
        <v>30.672231529090681</v>
      </c>
      <c r="AO43" s="833"/>
      <c r="AP43" s="836"/>
      <c r="AQ43" s="808"/>
      <c r="AR43" s="840"/>
      <c r="AT43" s="490"/>
      <c r="AU43" s="491" t="s">
        <v>41</v>
      </c>
      <c r="AV43" s="491" t="s">
        <v>34</v>
      </c>
      <c r="AW43" s="704">
        <v>22.325371201957729</v>
      </c>
      <c r="AX43" s="833"/>
      <c r="AY43" s="836"/>
      <c r="AZ43" s="808"/>
      <c r="BA43" s="840"/>
    </row>
    <row r="44" spans="1:53">
      <c r="A44" s="830"/>
      <c r="B44" s="830"/>
      <c r="C44" s="494" t="s">
        <v>34</v>
      </c>
      <c r="D44" s="704">
        <v>25.60245952452653</v>
      </c>
      <c r="E44" s="834"/>
      <c r="F44" s="837"/>
      <c r="G44" s="836"/>
      <c r="H44" s="809"/>
      <c r="I44" s="841"/>
      <c r="K44" s="494" t="s">
        <v>37</v>
      </c>
      <c r="L44" s="494" t="s">
        <v>34</v>
      </c>
      <c r="M44" s="704">
        <v>25.991975832945592</v>
      </c>
      <c r="N44" s="1017"/>
      <c r="O44" s="837"/>
      <c r="P44" s="809"/>
      <c r="Q44" s="841"/>
      <c r="S44" s="493"/>
      <c r="T44" s="494" t="s">
        <v>38</v>
      </c>
      <c r="U44" s="494" t="s">
        <v>34</v>
      </c>
      <c r="V44" s="704">
        <v>24.61605952049505</v>
      </c>
      <c r="W44" s="834"/>
      <c r="X44" s="837"/>
      <c r="Y44" s="809"/>
      <c r="Z44" s="841"/>
      <c r="AB44" s="493"/>
      <c r="AC44" s="494" t="s">
        <v>39</v>
      </c>
      <c r="AD44" s="494" t="s">
        <v>34</v>
      </c>
      <c r="AE44" s="704">
        <v>30.786107724082292</v>
      </c>
      <c r="AF44" s="834"/>
      <c r="AG44" s="837"/>
      <c r="AH44" s="809"/>
      <c r="AI44" s="841"/>
      <c r="AK44" s="493"/>
      <c r="AL44" s="494" t="s">
        <v>40</v>
      </c>
      <c r="AM44" s="494" t="s">
        <v>34</v>
      </c>
      <c r="AN44" s="704">
        <v>30.672285472956652</v>
      </c>
      <c r="AO44" s="834"/>
      <c r="AP44" s="837"/>
      <c r="AQ44" s="809"/>
      <c r="AR44" s="841"/>
      <c r="AT44" s="493"/>
      <c r="AU44" s="494" t="s">
        <v>41</v>
      </c>
      <c r="AV44" s="494" t="s">
        <v>34</v>
      </c>
      <c r="AW44" s="704">
        <v>22.777678259313817</v>
      </c>
      <c r="AX44" s="834"/>
      <c r="AY44" s="837"/>
      <c r="AZ44" s="809"/>
      <c r="BA44" s="841"/>
    </row>
    <row r="45" spans="1:53">
      <c r="A45" s="830"/>
      <c r="B45" s="830"/>
      <c r="C45" s="504" t="s">
        <v>34</v>
      </c>
      <c r="D45" s="704"/>
      <c r="E45" s="833">
        <f>AVERAGE(D45:D47)</f>
        <v>26.122268364499185</v>
      </c>
      <c r="F45" s="843">
        <f>E45-E9</f>
        <v>5.516033565685543</v>
      </c>
      <c r="G45" s="836"/>
      <c r="H45" s="808">
        <f>F45-G39</f>
        <v>0.25687235417325383</v>
      </c>
      <c r="I45" s="839">
        <f>2^-(H45)</f>
        <v>0.83690028612303802</v>
      </c>
      <c r="K45" s="504" t="s">
        <v>37</v>
      </c>
      <c r="L45" s="504" t="s">
        <v>34</v>
      </c>
      <c r="M45" s="704">
        <v>29.20671674901638</v>
      </c>
      <c r="N45" s="1015">
        <v>28.567146345540337</v>
      </c>
      <c r="O45" s="843">
        <v>9.3253291819242143</v>
      </c>
      <c r="P45" s="844">
        <v>4.0661679704119251</v>
      </c>
      <c r="Q45" s="845">
        <v>5.9698232560464519E-2</v>
      </c>
      <c r="S45" s="503"/>
      <c r="T45" s="504" t="s">
        <v>38</v>
      </c>
      <c r="U45" s="504" t="s">
        <v>34</v>
      </c>
      <c r="V45" s="704">
        <v>26.84261036328391</v>
      </c>
      <c r="W45" s="833">
        <v>26.508434122316043</v>
      </c>
      <c r="X45" s="843">
        <v>7.2446795238892783</v>
      </c>
      <c r="Y45" s="808">
        <v>1.9855183123769891</v>
      </c>
      <c r="Z45" s="840">
        <v>0.25252212251741291</v>
      </c>
      <c r="AB45" s="503"/>
      <c r="AC45" s="504" t="s">
        <v>39</v>
      </c>
      <c r="AD45" s="504" t="s">
        <v>34</v>
      </c>
      <c r="AE45" s="704">
        <v>28.570491971225159</v>
      </c>
      <c r="AF45" s="833">
        <v>29.420540429219344</v>
      </c>
      <c r="AG45" s="843">
        <v>10.182782220221217</v>
      </c>
      <c r="AH45" s="808">
        <v>4.9236210087089276</v>
      </c>
      <c r="AI45" s="840">
        <v>3.2949011439087919E-2</v>
      </c>
      <c r="AK45" s="503"/>
      <c r="AL45" s="504" t="s">
        <v>40</v>
      </c>
      <c r="AM45" s="504" t="s">
        <v>34</v>
      </c>
      <c r="AN45" s="704">
        <v>30.291093708840528</v>
      </c>
      <c r="AO45" s="833">
        <v>29.719586717383212</v>
      </c>
      <c r="AP45" s="843">
        <v>10.481828508385085</v>
      </c>
      <c r="AQ45" s="808">
        <v>5.2226672968727961</v>
      </c>
      <c r="AR45" s="840">
        <v>2.6780611311067268E-2</v>
      </c>
      <c r="AT45" s="503"/>
      <c r="AU45" s="504" t="s">
        <v>41</v>
      </c>
      <c r="AV45" s="504" t="s">
        <v>34</v>
      </c>
      <c r="AW45" s="704">
        <v>22.986041702121796</v>
      </c>
      <c r="AX45" s="833">
        <v>22.692327967527</v>
      </c>
      <c r="AY45" s="843">
        <v>4.1217063138817132</v>
      </c>
      <c r="AZ45" s="808">
        <v>-1.1374548976305761</v>
      </c>
      <c r="BA45" s="840">
        <v>2.1999258501230425</v>
      </c>
    </row>
    <row r="46" spans="1:53">
      <c r="A46" s="830"/>
      <c r="B46" s="830"/>
      <c r="C46" s="485" t="s">
        <v>34</v>
      </c>
      <c r="D46" s="704"/>
      <c r="E46" s="833"/>
      <c r="F46" s="836"/>
      <c r="G46" s="836"/>
      <c r="H46" s="808"/>
      <c r="I46" s="840"/>
      <c r="K46" s="485" t="s">
        <v>37</v>
      </c>
      <c r="L46" s="485" t="s">
        <v>34</v>
      </c>
      <c r="M46" s="704">
        <v>27.945673124974263</v>
      </c>
      <c r="N46" s="1016"/>
      <c r="O46" s="836"/>
      <c r="P46" s="808"/>
      <c r="Q46" s="840"/>
      <c r="S46" s="484"/>
      <c r="T46" s="485" t="s">
        <v>38</v>
      </c>
      <c r="U46" s="485" t="s">
        <v>34</v>
      </c>
      <c r="V46" s="704">
        <v>25.873819112228681</v>
      </c>
      <c r="W46" s="833"/>
      <c r="X46" s="836"/>
      <c r="Y46" s="808"/>
      <c r="Z46" s="840"/>
      <c r="AB46" s="484"/>
      <c r="AC46" s="485" t="s">
        <v>39</v>
      </c>
      <c r="AD46" s="485" t="s">
        <v>34</v>
      </c>
      <c r="AE46" s="704">
        <v>29.724100150168006</v>
      </c>
      <c r="AF46" s="833"/>
      <c r="AG46" s="836"/>
      <c r="AH46" s="808"/>
      <c r="AI46" s="840"/>
      <c r="AK46" s="484"/>
      <c r="AL46" s="485" t="s">
        <v>40</v>
      </c>
      <c r="AM46" s="485" t="s">
        <v>34</v>
      </c>
      <c r="AN46" s="704">
        <v>29.652842760732369</v>
      </c>
      <c r="AO46" s="833"/>
      <c r="AP46" s="836"/>
      <c r="AQ46" s="808"/>
      <c r="AR46" s="840"/>
      <c r="AT46" s="484"/>
      <c r="AU46" s="485" t="s">
        <v>41</v>
      </c>
      <c r="AV46" s="485" t="s">
        <v>34</v>
      </c>
      <c r="AW46" s="704"/>
      <c r="AX46" s="833"/>
      <c r="AY46" s="836"/>
      <c r="AZ46" s="808"/>
      <c r="BA46" s="840"/>
    </row>
    <row r="47" spans="1:53" ht="16.2" thickBot="1">
      <c r="A47" s="831"/>
      <c r="B47" s="831"/>
      <c r="C47" s="497" t="s">
        <v>34</v>
      </c>
      <c r="D47" s="704">
        <v>26.122268364499185</v>
      </c>
      <c r="E47" s="846"/>
      <c r="F47" s="838"/>
      <c r="G47" s="838"/>
      <c r="H47" s="847"/>
      <c r="I47" s="848"/>
      <c r="K47" s="497" t="s">
        <v>37</v>
      </c>
      <c r="L47" s="497" t="s">
        <v>34</v>
      </c>
      <c r="M47" s="704">
        <v>28.549049162630368</v>
      </c>
      <c r="N47" s="1022"/>
      <c r="O47" s="838"/>
      <c r="P47" s="847"/>
      <c r="Q47" s="848"/>
      <c r="S47" s="496"/>
      <c r="T47" s="497" t="s">
        <v>38</v>
      </c>
      <c r="U47" s="497" t="s">
        <v>34</v>
      </c>
      <c r="V47" s="704">
        <v>26.808872891435541</v>
      </c>
      <c r="W47" s="846"/>
      <c r="X47" s="838"/>
      <c r="Y47" s="847"/>
      <c r="Z47" s="848"/>
      <c r="AB47" s="496"/>
      <c r="AC47" s="497" t="s">
        <v>39</v>
      </c>
      <c r="AD47" s="497" t="s">
        <v>34</v>
      </c>
      <c r="AE47" s="704">
        <v>29.967029166264865</v>
      </c>
      <c r="AF47" s="846"/>
      <c r="AG47" s="838"/>
      <c r="AH47" s="847"/>
      <c r="AI47" s="848"/>
      <c r="AK47" s="496"/>
      <c r="AL47" s="497" t="s">
        <v>40</v>
      </c>
      <c r="AM47" s="497" t="s">
        <v>34</v>
      </c>
      <c r="AN47" s="704">
        <v>29.214823682576743</v>
      </c>
      <c r="AO47" s="846"/>
      <c r="AP47" s="838"/>
      <c r="AQ47" s="847"/>
      <c r="AR47" s="848"/>
      <c r="AT47" s="496"/>
      <c r="AU47" s="497" t="s">
        <v>41</v>
      </c>
      <c r="AV47" s="497" t="s">
        <v>34</v>
      </c>
      <c r="AW47" s="704">
        <v>22.398614232932204</v>
      </c>
      <c r="AX47" s="846"/>
      <c r="AY47" s="838"/>
      <c r="AZ47" s="847"/>
      <c r="BA47" s="848"/>
    </row>
    <row r="48" spans="1:53">
      <c r="A48" s="852" t="s">
        <v>15</v>
      </c>
      <c r="B48" s="852" t="str">
        <f>C48</f>
        <v>IFIT</v>
      </c>
      <c r="C48" s="452" t="s">
        <v>35</v>
      </c>
      <c r="D48" s="704">
        <v>25.8768015705447</v>
      </c>
      <c r="E48" s="873">
        <f>AVERAGE(D48:D50)</f>
        <v>25.8768015705447</v>
      </c>
      <c r="F48" s="874">
        <f>E48-E3</f>
        <v>5.4052285522776948</v>
      </c>
      <c r="G48" s="874">
        <f>AVERAGE(F48:F56)</f>
        <v>5.215401730673725</v>
      </c>
      <c r="H48" s="875">
        <f>F48-G48</f>
        <v>0.1898268216039698</v>
      </c>
      <c r="I48" s="876">
        <f>2^-(H48)</f>
        <v>0.87671095373194685</v>
      </c>
      <c r="K48" s="452" t="s">
        <v>37</v>
      </c>
      <c r="L48" s="452" t="s">
        <v>35</v>
      </c>
      <c r="M48" s="704">
        <v>26.521411306298006</v>
      </c>
      <c r="N48" s="1019">
        <v>26.8998495494961</v>
      </c>
      <c r="O48" s="874">
        <v>7.3783762327834594</v>
      </c>
      <c r="P48" s="875">
        <v>2.1629745021097344</v>
      </c>
      <c r="Q48" s="876">
        <v>0.22329540952965868</v>
      </c>
      <c r="S48" s="451"/>
      <c r="T48" s="452" t="s">
        <v>38</v>
      </c>
      <c r="U48" s="452" t="s">
        <v>35</v>
      </c>
      <c r="V48" s="704">
        <v>23.846902668387493</v>
      </c>
      <c r="W48" s="855">
        <v>23.720395402695868</v>
      </c>
      <c r="X48" s="858">
        <v>6.1907956227984045</v>
      </c>
      <c r="Y48" s="862">
        <v>0.97539389212467942</v>
      </c>
      <c r="Z48" s="863">
        <v>0.50860096620486972</v>
      </c>
      <c r="AB48" s="451"/>
      <c r="AC48" s="452" t="s">
        <v>39</v>
      </c>
      <c r="AD48" s="452" t="s">
        <v>35</v>
      </c>
      <c r="AE48" s="704">
        <v>27.357216397548157</v>
      </c>
      <c r="AF48" s="855">
        <v>26.776199832526832</v>
      </c>
      <c r="AG48" s="858">
        <v>6.4078933077378082</v>
      </c>
      <c r="AH48" s="862">
        <v>1.1924915770640832</v>
      </c>
      <c r="AI48" s="863">
        <v>0.43754655190818187</v>
      </c>
      <c r="AK48" s="451"/>
      <c r="AL48" s="452" t="s">
        <v>40</v>
      </c>
      <c r="AM48" s="452" t="s">
        <v>35</v>
      </c>
      <c r="AN48" s="704"/>
      <c r="AO48" s="855">
        <v>26.785990902067887</v>
      </c>
      <c r="AP48" s="858">
        <v>6.4176843772788636</v>
      </c>
      <c r="AQ48" s="862">
        <v>1.2022826466051386</v>
      </c>
      <c r="AR48" s="863">
        <v>0.4345871292635648</v>
      </c>
      <c r="AT48" s="451"/>
      <c r="AU48" s="452" t="s">
        <v>41</v>
      </c>
      <c r="AV48" s="452" t="s">
        <v>35</v>
      </c>
      <c r="AW48" s="704">
        <v>22.054781049411829</v>
      </c>
      <c r="AX48" s="855">
        <v>22.054781049411829</v>
      </c>
      <c r="AY48" s="858">
        <v>4.1626350301068236</v>
      </c>
      <c r="AZ48" s="862">
        <v>-1.0527667005669015</v>
      </c>
      <c r="BA48" s="863">
        <v>2.0745043761510771</v>
      </c>
    </row>
    <row r="49" spans="1:53">
      <c r="A49" s="853"/>
      <c r="B49" s="853"/>
      <c r="C49" s="452" t="s">
        <v>35</v>
      </c>
      <c r="D49" s="704"/>
      <c r="E49" s="856"/>
      <c r="F49" s="859"/>
      <c r="G49" s="859"/>
      <c r="H49" s="811"/>
      <c r="I49" s="850"/>
      <c r="K49" s="452" t="s">
        <v>37</v>
      </c>
      <c r="L49" s="452" t="s">
        <v>35</v>
      </c>
      <c r="M49" s="704">
        <v>27.16625338831777</v>
      </c>
      <c r="N49" s="1020"/>
      <c r="O49" s="859"/>
      <c r="P49" s="811"/>
      <c r="Q49" s="850"/>
      <c r="S49" s="451"/>
      <c r="T49" s="452" t="s">
        <v>38</v>
      </c>
      <c r="U49" s="452" t="s">
        <v>35</v>
      </c>
      <c r="V49" s="704">
        <v>23.546906613622951</v>
      </c>
      <c r="W49" s="856"/>
      <c r="X49" s="859"/>
      <c r="Y49" s="811"/>
      <c r="Z49" s="850"/>
      <c r="AB49" s="451"/>
      <c r="AC49" s="452" t="s">
        <v>39</v>
      </c>
      <c r="AD49" s="452" t="s">
        <v>35</v>
      </c>
      <c r="AE49" s="704">
        <v>26.261475065338558</v>
      </c>
      <c r="AF49" s="856"/>
      <c r="AG49" s="859"/>
      <c r="AH49" s="811"/>
      <c r="AI49" s="850"/>
      <c r="AK49" s="451"/>
      <c r="AL49" s="452" t="s">
        <v>40</v>
      </c>
      <c r="AM49" s="452" t="s">
        <v>35</v>
      </c>
      <c r="AN49" s="704"/>
      <c r="AO49" s="856"/>
      <c r="AP49" s="859"/>
      <c r="AQ49" s="811"/>
      <c r="AR49" s="850"/>
      <c r="AT49" s="451"/>
      <c r="AU49" s="452" t="s">
        <v>41</v>
      </c>
      <c r="AV49" s="452" t="s">
        <v>35</v>
      </c>
      <c r="AW49" s="704"/>
      <c r="AX49" s="856"/>
      <c r="AY49" s="859"/>
      <c r="AZ49" s="811"/>
      <c r="BA49" s="850"/>
    </row>
    <row r="50" spans="1:53">
      <c r="A50" s="853"/>
      <c r="B50" s="853"/>
      <c r="C50" s="454" t="s">
        <v>35</v>
      </c>
      <c r="D50" s="704"/>
      <c r="E50" s="857"/>
      <c r="F50" s="860"/>
      <c r="G50" s="859"/>
      <c r="H50" s="812"/>
      <c r="I50" s="851"/>
      <c r="K50" s="454" t="s">
        <v>37</v>
      </c>
      <c r="L50" s="454" t="s">
        <v>35</v>
      </c>
      <c r="M50" s="704">
        <v>27.011883953872527</v>
      </c>
      <c r="N50" s="1021"/>
      <c r="O50" s="860"/>
      <c r="P50" s="812"/>
      <c r="Q50" s="851"/>
      <c r="S50" s="453"/>
      <c r="T50" s="454" t="s">
        <v>38</v>
      </c>
      <c r="U50" s="454" t="s">
        <v>35</v>
      </c>
      <c r="V50" s="704">
        <v>23.767376926077155</v>
      </c>
      <c r="W50" s="857"/>
      <c r="X50" s="860"/>
      <c r="Y50" s="812"/>
      <c r="Z50" s="851"/>
      <c r="AB50" s="453"/>
      <c r="AC50" s="454" t="s">
        <v>39</v>
      </c>
      <c r="AD50" s="454" t="s">
        <v>35</v>
      </c>
      <c r="AE50" s="704">
        <v>26.709908034693782</v>
      </c>
      <c r="AF50" s="857"/>
      <c r="AG50" s="860"/>
      <c r="AH50" s="812"/>
      <c r="AI50" s="851"/>
      <c r="AK50" s="453"/>
      <c r="AL50" s="454" t="s">
        <v>40</v>
      </c>
      <c r="AM50" s="454" t="s">
        <v>35</v>
      </c>
      <c r="AN50" s="704">
        <v>26.785990902067887</v>
      </c>
      <c r="AO50" s="857"/>
      <c r="AP50" s="860"/>
      <c r="AQ50" s="812"/>
      <c r="AR50" s="851"/>
      <c r="AT50" s="453"/>
      <c r="AU50" s="454" t="s">
        <v>41</v>
      </c>
      <c r="AV50" s="454" t="s">
        <v>35</v>
      </c>
      <c r="AW50" s="704"/>
      <c r="AX50" s="857"/>
      <c r="AY50" s="860"/>
      <c r="AZ50" s="812"/>
      <c r="BA50" s="851"/>
    </row>
    <row r="51" spans="1:53">
      <c r="A51" s="853"/>
      <c r="B51" s="853"/>
      <c r="C51" s="456" t="s">
        <v>35</v>
      </c>
      <c r="D51" s="704"/>
      <c r="E51" s="872">
        <f>AVERAGE(D51:D53)</f>
        <v>25.639205914697683</v>
      </c>
      <c r="F51" s="871">
        <f>E51-E6</f>
        <v>4.9760952386652839</v>
      </c>
      <c r="G51" s="859"/>
      <c r="H51" s="810">
        <f>F51-G48</f>
        <v>-0.23930649200844112</v>
      </c>
      <c r="I51" s="849">
        <f>2^-(H51)</f>
        <v>1.1804250910127834</v>
      </c>
      <c r="K51" s="456" t="s">
        <v>37</v>
      </c>
      <c r="L51" s="456" t="s">
        <v>35</v>
      </c>
      <c r="M51" s="704"/>
      <c r="N51" s="1023">
        <v>24.431160178792396</v>
      </c>
      <c r="O51" s="871">
        <v>6.7824509238397326</v>
      </c>
      <c r="P51" s="810">
        <v>1.5670491931660075</v>
      </c>
      <c r="Q51" s="849">
        <v>0.33749798804287862</v>
      </c>
      <c r="S51" s="455"/>
      <c r="T51" s="456" t="s">
        <v>38</v>
      </c>
      <c r="U51" s="456" t="s">
        <v>35</v>
      </c>
      <c r="V51" s="704">
        <v>23.306254792792849</v>
      </c>
      <c r="W51" s="872">
        <v>23.496813762969865</v>
      </c>
      <c r="X51" s="871">
        <v>5.6380857079382167</v>
      </c>
      <c r="Y51" s="810">
        <v>0.42268397726449169</v>
      </c>
      <c r="Z51" s="849">
        <v>0.74603541470613477</v>
      </c>
      <c r="AB51" s="455"/>
      <c r="AC51" s="456" t="s">
        <v>39</v>
      </c>
      <c r="AD51" s="456" t="s">
        <v>35</v>
      </c>
      <c r="AE51" s="704">
        <v>27.076705862023459</v>
      </c>
      <c r="AF51" s="872">
        <v>27.389080636992947</v>
      </c>
      <c r="AG51" s="871">
        <v>7.0682357737715726</v>
      </c>
      <c r="AH51" s="810">
        <v>1.8528340430978476</v>
      </c>
      <c r="AI51" s="849">
        <v>0.27684799082223627</v>
      </c>
      <c r="AK51" s="455"/>
      <c r="AL51" s="456" t="s">
        <v>40</v>
      </c>
      <c r="AM51" s="456" t="s">
        <v>35</v>
      </c>
      <c r="AN51" s="704">
        <v>27.851486717065264</v>
      </c>
      <c r="AO51" s="872">
        <v>27.851486717065264</v>
      </c>
      <c r="AP51" s="871">
        <v>7.5306418538438891</v>
      </c>
      <c r="AQ51" s="810">
        <v>2.315240123170164</v>
      </c>
      <c r="AR51" s="849">
        <v>0.20092930208914486</v>
      </c>
      <c r="AT51" s="455"/>
      <c r="AU51" s="456" t="s">
        <v>41</v>
      </c>
      <c r="AV51" s="456" t="s">
        <v>35</v>
      </c>
      <c r="AW51" s="704"/>
      <c r="AX51" s="872">
        <v>22.596621095065622</v>
      </c>
      <c r="AY51" s="871">
        <v>4.1341288931742532</v>
      </c>
      <c r="AZ51" s="810">
        <v>-1.0812728374994718</v>
      </c>
      <c r="BA51" s="849">
        <v>2.1159020414820411</v>
      </c>
    </row>
    <row r="52" spans="1:53">
      <c r="A52" s="853"/>
      <c r="B52" s="853"/>
      <c r="C52" s="458" t="s">
        <v>35</v>
      </c>
      <c r="D52" s="704"/>
      <c r="E52" s="856"/>
      <c r="F52" s="859"/>
      <c r="G52" s="859"/>
      <c r="H52" s="811"/>
      <c r="I52" s="850"/>
      <c r="K52" s="458" t="s">
        <v>37</v>
      </c>
      <c r="L52" s="458" t="s">
        <v>35</v>
      </c>
      <c r="M52" s="704">
        <v>24.431160178792396</v>
      </c>
      <c r="N52" s="1020"/>
      <c r="O52" s="859"/>
      <c r="P52" s="811"/>
      <c r="Q52" s="850"/>
      <c r="S52" s="457"/>
      <c r="T52" s="458" t="s">
        <v>38</v>
      </c>
      <c r="U52" s="458" t="s">
        <v>35</v>
      </c>
      <c r="V52" s="704">
        <v>23.911596915846374</v>
      </c>
      <c r="W52" s="856"/>
      <c r="X52" s="859"/>
      <c r="Y52" s="811"/>
      <c r="Z52" s="850"/>
      <c r="AB52" s="457"/>
      <c r="AC52" s="458" t="s">
        <v>39</v>
      </c>
      <c r="AD52" s="458" t="s">
        <v>35</v>
      </c>
      <c r="AE52" s="704">
        <v>26.976094050042356</v>
      </c>
      <c r="AF52" s="856"/>
      <c r="AG52" s="859"/>
      <c r="AH52" s="811"/>
      <c r="AI52" s="850"/>
      <c r="AK52" s="457"/>
      <c r="AL52" s="458" t="s">
        <v>40</v>
      </c>
      <c r="AM52" s="458" t="s">
        <v>35</v>
      </c>
      <c r="AN52" s="704"/>
      <c r="AO52" s="856"/>
      <c r="AP52" s="859"/>
      <c r="AQ52" s="811"/>
      <c r="AR52" s="850"/>
      <c r="AT52" s="457"/>
      <c r="AU52" s="458" t="s">
        <v>41</v>
      </c>
      <c r="AV52" s="458" t="s">
        <v>35</v>
      </c>
      <c r="AW52" s="704">
        <v>22.983733139125782</v>
      </c>
      <c r="AX52" s="856"/>
      <c r="AY52" s="859"/>
      <c r="AZ52" s="811"/>
      <c r="BA52" s="850"/>
    </row>
    <row r="53" spans="1:53">
      <c r="A53" s="853"/>
      <c r="B53" s="853"/>
      <c r="C53" s="460" t="s">
        <v>35</v>
      </c>
      <c r="D53" s="704">
        <v>25.639205914697683</v>
      </c>
      <c r="E53" s="857"/>
      <c r="F53" s="860"/>
      <c r="G53" s="859"/>
      <c r="H53" s="812"/>
      <c r="I53" s="851"/>
      <c r="K53" s="460" t="s">
        <v>37</v>
      </c>
      <c r="L53" s="460" t="s">
        <v>35</v>
      </c>
      <c r="M53" s="704"/>
      <c r="N53" s="1021"/>
      <c r="O53" s="860"/>
      <c r="P53" s="812"/>
      <c r="Q53" s="851"/>
      <c r="S53" s="459"/>
      <c r="T53" s="460" t="s">
        <v>38</v>
      </c>
      <c r="U53" s="460" t="s">
        <v>35</v>
      </c>
      <c r="V53" s="704">
        <v>23.27258958027037</v>
      </c>
      <c r="W53" s="857"/>
      <c r="X53" s="860"/>
      <c r="Y53" s="812"/>
      <c r="Z53" s="851"/>
      <c r="AB53" s="459"/>
      <c r="AC53" s="460" t="s">
        <v>39</v>
      </c>
      <c r="AD53" s="460" t="s">
        <v>35</v>
      </c>
      <c r="AE53" s="704">
        <v>28.114441998913037</v>
      </c>
      <c r="AF53" s="857"/>
      <c r="AG53" s="860"/>
      <c r="AH53" s="812"/>
      <c r="AI53" s="851"/>
      <c r="AK53" s="459"/>
      <c r="AL53" s="460" t="s">
        <v>40</v>
      </c>
      <c r="AM53" s="460" t="s">
        <v>35</v>
      </c>
      <c r="AN53" s="704"/>
      <c r="AO53" s="857"/>
      <c r="AP53" s="860"/>
      <c r="AQ53" s="812"/>
      <c r="AR53" s="851"/>
      <c r="AT53" s="459"/>
      <c r="AU53" s="460" t="s">
        <v>41</v>
      </c>
      <c r="AV53" s="460" t="s">
        <v>35</v>
      </c>
      <c r="AW53" s="704">
        <v>22.209509051005462</v>
      </c>
      <c r="AX53" s="857"/>
      <c r="AY53" s="860"/>
      <c r="AZ53" s="812"/>
      <c r="BA53" s="851"/>
    </row>
    <row r="54" spans="1:53">
      <c r="A54" s="853"/>
      <c r="B54" s="853"/>
      <c r="C54" s="462" t="s">
        <v>35</v>
      </c>
      <c r="D54" s="704"/>
      <c r="E54" s="856">
        <f>AVERAGE(D54:D56)</f>
        <v>25.871116199891837</v>
      </c>
      <c r="F54" s="871">
        <f>E54-E9</f>
        <v>5.2648814010781955</v>
      </c>
      <c r="G54" s="859"/>
      <c r="H54" s="811">
        <f>F54-G48</f>
        <v>4.9479670404470433E-2</v>
      </c>
      <c r="I54" s="849">
        <f>2^-(H54)</f>
        <v>0.96628477117497291</v>
      </c>
      <c r="K54" s="462" t="s">
        <v>37</v>
      </c>
      <c r="L54" s="462" t="s">
        <v>35</v>
      </c>
      <c r="M54" s="704"/>
      <c r="N54" s="1023">
        <v>26.933037850697488</v>
      </c>
      <c r="O54" s="871">
        <v>7.6912206870813655</v>
      </c>
      <c r="P54" s="810">
        <v>2.4758189564076405</v>
      </c>
      <c r="Q54" s="849">
        <v>0.17976462382717531</v>
      </c>
      <c r="S54" s="461"/>
      <c r="T54" s="462" t="s">
        <v>38</v>
      </c>
      <c r="U54" s="462" t="s">
        <v>35</v>
      </c>
      <c r="V54" s="704">
        <v>25.822628425841323</v>
      </c>
      <c r="W54" s="856">
        <v>25.313696847061767</v>
      </c>
      <c r="X54" s="871">
        <v>6.0499422486350021</v>
      </c>
      <c r="Y54" s="811">
        <v>0.83454051796127704</v>
      </c>
      <c r="Z54" s="850">
        <v>0.56076160680058895</v>
      </c>
      <c r="AB54" s="461"/>
      <c r="AC54" s="462" t="s">
        <v>39</v>
      </c>
      <c r="AD54" s="462" t="s">
        <v>35</v>
      </c>
      <c r="AE54" s="704">
        <v>26.747779067205329</v>
      </c>
      <c r="AF54" s="856">
        <v>26.658441649211557</v>
      </c>
      <c r="AG54" s="871">
        <v>7.4206834402134305</v>
      </c>
      <c r="AH54" s="811">
        <v>2.2052817095397055</v>
      </c>
      <c r="AI54" s="850">
        <v>0.2168423256826503</v>
      </c>
      <c r="AK54" s="461"/>
      <c r="AL54" s="462" t="s">
        <v>40</v>
      </c>
      <c r="AM54" s="462" t="s">
        <v>35</v>
      </c>
      <c r="AN54" s="704"/>
      <c r="AO54" s="856">
        <v>26.354829489642178</v>
      </c>
      <c r="AP54" s="871">
        <v>7.1170712806440513</v>
      </c>
      <c r="AQ54" s="811">
        <v>1.9016695499703262</v>
      </c>
      <c r="AR54" s="850">
        <v>0.26763346916825126</v>
      </c>
      <c r="AT54" s="461"/>
      <c r="AU54" s="462" t="s">
        <v>41</v>
      </c>
      <c r="AV54" s="462" t="s">
        <v>35</v>
      </c>
      <c r="AW54" s="704"/>
      <c r="AX54" s="856">
        <v>22.880939947548519</v>
      </c>
      <c r="AY54" s="871">
        <v>4.310318293903233</v>
      </c>
      <c r="AZ54" s="811">
        <v>-0.90508343677049208</v>
      </c>
      <c r="BA54" s="850">
        <v>1.8726527946682321</v>
      </c>
    </row>
    <row r="55" spans="1:53">
      <c r="A55" s="853"/>
      <c r="B55" s="853"/>
      <c r="C55" s="452" t="s">
        <v>35</v>
      </c>
      <c r="D55" s="704">
        <v>25.871116199891837</v>
      </c>
      <c r="E55" s="856"/>
      <c r="F55" s="859"/>
      <c r="G55" s="859"/>
      <c r="H55" s="811"/>
      <c r="I55" s="850"/>
      <c r="K55" s="452" t="s">
        <v>37</v>
      </c>
      <c r="L55" s="452" t="s">
        <v>35</v>
      </c>
      <c r="M55" s="704">
        <v>26.933037850697488</v>
      </c>
      <c r="N55" s="1020"/>
      <c r="O55" s="859"/>
      <c r="P55" s="811"/>
      <c r="Q55" s="850"/>
      <c r="S55" s="451"/>
      <c r="T55" s="452" t="s">
        <v>38</v>
      </c>
      <c r="U55" s="452" t="s">
        <v>35</v>
      </c>
      <c r="V55" s="704">
        <v>25.002201197265059</v>
      </c>
      <c r="W55" s="856"/>
      <c r="X55" s="859"/>
      <c r="Y55" s="811"/>
      <c r="Z55" s="850"/>
      <c r="AB55" s="451"/>
      <c r="AC55" s="452" t="s">
        <v>39</v>
      </c>
      <c r="AD55" s="452" t="s">
        <v>35</v>
      </c>
      <c r="AE55" s="704">
        <v>26.358161411363653</v>
      </c>
      <c r="AF55" s="856"/>
      <c r="AG55" s="859"/>
      <c r="AH55" s="811"/>
      <c r="AI55" s="850"/>
      <c r="AK55" s="451"/>
      <c r="AL55" s="452" t="s">
        <v>40</v>
      </c>
      <c r="AM55" s="452" t="s">
        <v>35</v>
      </c>
      <c r="AN55" s="704"/>
      <c r="AO55" s="856"/>
      <c r="AP55" s="859"/>
      <c r="AQ55" s="811"/>
      <c r="AR55" s="850"/>
      <c r="AT55" s="451"/>
      <c r="AU55" s="452" t="s">
        <v>41</v>
      </c>
      <c r="AV55" s="452" t="s">
        <v>35</v>
      </c>
      <c r="AW55" s="704"/>
      <c r="AX55" s="856"/>
      <c r="AY55" s="859"/>
      <c r="AZ55" s="811"/>
      <c r="BA55" s="850"/>
    </row>
    <row r="56" spans="1:53" ht="16.2" thickBot="1">
      <c r="A56" s="854"/>
      <c r="B56" s="854"/>
      <c r="C56" s="464" t="s">
        <v>35</v>
      </c>
      <c r="D56" s="704"/>
      <c r="E56" s="870"/>
      <c r="F56" s="861"/>
      <c r="G56" s="861"/>
      <c r="H56" s="864"/>
      <c r="I56" s="865"/>
      <c r="K56" s="464" t="s">
        <v>37</v>
      </c>
      <c r="L56" s="464" t="s">
        <v>35</v>
      </c>
      <c r="M56" s="704"/>
      <c r="N56" s="1024"/>
      <c r="O56" s="861"/>
      <c r="P56" s="864"/>
      <c r="Q56" s="865"/>
      <c r="S56" s="463"/>
      <c r="T56" s="464" t="s">
        <v>38</v>
      </c>
      <c r="U56" s="464" t="s">
        <v>35</v>
      </c>
      <c r="V56" s="704">
        <v>25.116260918078922</v>
      </c>
      <c r="W56" s="870"/>
      <c r="X56" s="861"/>
      <c r="Y56" s="864"/>
      <c r="Z56" s="865"/>
      <c r="AB56" s="463"/>
      <c r="AC56" s="464" t="s">
        <v>39</v>
      </c>
      <c r="AD56" s="464" t="s">
        <v>35</v>
      </c>
      <c r="AE56" s="704">
        <v>26.869384469065693</v>
      </c>
      <c r="AF56" s="870"/>
      <c r="AG56" s="861"/>
      <c r="AH56" s="864"/>
      <c r="AI56" s="865"/>
      <c r="AK56" s="463"/>
      <c r="AL56" s="464" t="s">
        <v>40</v>
      </c>
      <c r="AM56" s="464" t="s">
        <v>35</v>
      </c>
      <c r="AN56" s="704">
        <v>26.354829489642178</v>
      </c>
      <c r="AO56" s="870"/>
      <c r="AP56" s="861"/>
      <c r="AQ56" s="864"/>
      <c r="AR56" s="865"/>
      <c r="AT56" s="463"/>
      <c r="AU56" s="464" t="s">
        <v>41</v>
      </c>
      <c r="AV56" s="464" t="s">
        <v>35</v>
      </c>
      <c r="AW56" s="704">
        <v>22.880939947548519</v>
      </c>
      <c r="AX56" s="870"/>
      <c r="AY56" s="861"/>
      <c r="AZ56" s="864"/>
      <c r="BA56" s="865"/>
    </row>
  </sheetData>
  <mergeCells count="455">
    <mergeCell ref="AX51:AX53"/>
    <mergeCell ref="AY51:AY53"/>
    <mergeCell ref="AZ51:AZ53"/>
    <mergeCell ref="BA51:BA53"/>
    <mergeCell ref="AX54:AX56"/>
    <mergeCell ref="AY54:AY56"/>
    <mergeCell ref="AZ54:AZ56"/>
    <mergeCell ref="BA54:BA56"/>
    <mergeCell ref="AX45:AX47"/>
    <mergeCell ref="AY45:AY47"/>
    <mergeCell ref="AZ45:AZ47"/>
    <mergeCell ref="BA45:BA47"/>
    <mergeCell ref="AX48:AX50"/>
    <mergeCell ref="AY48:AY50"/>
    <mergeCell ref="AZ48:AZ50"/>
    <mergeCell ref="BA48:BA50"/>
    <mergeCell ref="AX39:AX41"/>
    <mergeCell ref="AY39:AY41"/>
    <mergeCell ref="AZ39:AZ41"/>
    <mergeCell ref="BA39:BA41"/>
    <mergeCell ref="AX42:AX44"/>
    <mergeCell ref="AY42:AY44"/>
    <mergeCell ref="AZ42:AZ44"/>
    <mergeCell ref="BA42:BA44"/>
    <mergeCell ref="AX33:AX35"/>
    <mergeCell ref="AY33:AY35"/>
    <mergeCell ref="AZ33:AZ35"/>
    <mergeCell ref="BA33:BA35"/>
    <mergeCell ref="AX36:AX38"/>
    <mergeCell ref="AY36:AY38"/>
    <mergeCell ref="AZ36:AZ38"/>
    <mergeCell ref="BA36:BA38"/>
    <mergeCell ref="AX27:AX29"/>
    <mergeCell ref="AY27:AY29"/>
    <mergeCell ref="AZ27:AZ29"/>
    <mergeCell ref="BA27:BA29"/>
    <mergeCell ref="AX30:AX32"/>
    <mergeCell ref="AY30:AY32"/>
    <mergeCell ref="AZ30:AZ32"/>
    <mergeCell ref="BA30:BA32"/>
    <mergeCell ref="AX21:AX23"/>
    <mergeCell ref="AY21:AY23"/>
    <mergeCell ref="AZ21:AZ23"/>
    <mergeCell ref="BA21:BA23"/>
    <mergeCell ref="AX24:AX26"/>
    <mergeCell ref="AY24:AY26"/>
    <mergeCell ref="AZ24:AZ26"/>
    <mergeCell ref="BA24:BA26"/>
    <mergeCell ref="AX15:AX17"/>
    <mergeCell ref="AY15:AY17"/>
    <mergeCell ref="AZ15:AZ17"/>
    <mergeCell ref="BA15:BA17"/>
    <mergeCell ref="AX18:AX20"/>
    <mergeCell ref="AY18:AY20"/>
    <mergeCell ref="AZ18:AZ20"/>
    <mergeCell ref="BA18:BA20"/>
    <mergeCell ref="AX9:AX11"/>
    <mergeCell ref="AY9:AY11"/>
    <mergeCell ref="AZ9:AZ11"/>
    <mergeCell ref="BA9:BA11"/>
    <mergeCell ref="AX12:AX14"/>
    <mergeCell ref="AY12:AY14"/>
    <mergeCell ref="AZ12:AZ14"/>
    <mergeCell ref="BA12:BA14"/>
    <mergeCell ref="AK1:AR1"/>
    <mergeCell ref="AT1:BA1"/>
    <mergeCell ref="AX3:AX5"/>
    <mergeCell ref="AY3:AY5"/>
    <mergeCell ref="AZ3:AZ5"/>
    <mergeCell ref="BA3:BA5"/>
    <mergeCell ref="AO51:AO53"/>
    <mergeCell ref="AP51:AP53"/>
    <mergeCell ref="AQ51:AQ53"/>
    <mergeCell ref="AR51:AR53"/>
    <mergeCell ref="AO54:AO56"/>
    <mergeCell ref="AP54:AP56"/>
    <mergeCell ref="AQ54:AQ56"/>
    <mergeCell ref="AR54:AR56"/>
    <mergeCell ref="AQ45:AQ47"/>
    <mergeCell ref="AR45:AR47"/>
    <mergeCell ref="AO48:AO50"/>
    <mergeCell ref="AP48:AP50"/>
    <mergeCell ref="AQ48:AQ50"/>
    <mergeCell ref="AR48:AR50"/>
    <mergeCell ref="AQ39:AQ41"/>
    <mergeCell ref="AR39:AR41"/>
    <mergeCell ref="AO42:AO44"/>
    <mergeCell ref="AP42:AP44"/>
    <mergeCell ref="AQ42:AQ44"/>
    <mergeCell ref="AR42:AR44"/>
    <mergeCell ref="AQ33:AQ35"/>
    <mergeCell ref="AR33:AR35"/>
    <mergeCell ref="AO36:AO38"/>
    <mergeCell ref="AP36:AP38"/>
    <mergeCell ref="AQ36:AQ38"/>
    <mergeCell ref="AR36:AR38"/>
    <mergeCell ref="AQ27:AQ29"/>
    <mergeCell ref="AR27:AR29"/>
    <mergeCell ref="AO30:AO32"/>
    <mergeCell ref="AP30:AP32"/>
    <mergeCell ref="AQ30:AQ32"/>
    <mergeCell ref="AR30:AR32"/>
    <mergeCell ref="AQ21:AQ23"/>
    <mergeCell ref="AR21:AR23"/>
    <mergeCell ref="AO24:AO26"/>
    <mergeCell ref="AP24:AP26"/>
    <mergeCell ref="AQ24:AQ26"/>
    <mergeCell ref="AR24:AR26"/>
    <mergeCell ref="AQ15:AQ17"/>
    <mergeCell ref="AR15:AR17"/>
    <mergeCell ref="AO18:AO20"/>
    <mergeCell ref="AP18:AP20"/>
    <mergeCell ref="AQ18:AQ20"/>
    <mergeCell ref="AR18:AR20"/>
    <mergeCell ref="AQ9:AQ11"/>
    <mergeCell ref="AR9:AR11"/>
    <mergeCell ref="AO12:AO14"/>
    <mergeCell ref="AP12:AP14"/>
    <mergeCell ref="AQ12:AQ14"/>
    <mergeCell ref="AR12:AR14"/>
    <mergeCell ref="AO3:AO5"/>
    <mergeCell ref="AP3:AP5"/>
    <mergeCell ref="AQ3:AQ5"/>
    <mergeCell ref="AR3:AR5"/>
    <mergeCell ref="AO6:AO8"/>
    <mergeCell ref="AP6:AP8"/>
    <mergeCell ref="AO45:AO47"/>
    <mergeCell ref="AP45:AP47"/>
    <mergeCell ref="AO39:AO41"/>
    <mergeCell ref="AP39:AP41"/>
    <mergeCell ref="AO33:AO35"/>
    <mergeCell ref="AP33:AP35"/>
    <mergeCell ref="AO27:AO29"/>
    <mergeCell ref="AP27:AP29"/>
    <mergeCell ref="AO21:AO23"/>
    <mergeCell ref="AP21:AP23"/>
    <mergeCell ref="AO15:AO17"/>
    <mergeCell ref="AP15:AP17"/>
    <mergeCell ref="AO9:AO11"/>
    <mergeCell ref="AP9:AP11"/>
    <mergeCell ref="AQ6:AQ8"/>
    <mergeCell ref="AR6:AR8"/>
    <mergeCell ref="AF51:AF53"/>
    <mergeCell ref="AG51:AG53"/>
    <mergeCell ref="AH51:AH53"/>
    <mergeCell ref="AI51:AI53"/>
    <mergeCell ref="AF54:AF56"/>
    <mergeCell ref="AG54:AG56"/>
    <mergeCell ref="AH54:AH56"/>
    <mergeCell ref="AI54:AI56"/>
    <mergeCell ref="AF45:AF47"/>
    <mergeCell ref="AG45:AG47"/>
    <mergeCell ref="AH45:AH47"/>
    <mergeCell ref="AI45:AI47"/>
    <mergeCell ref="AF48:AF50"/>
    <mergeCell ref="AG48:AG50"/>
    <mergeCell ref="AH48:AH50"/>
    <mergeCell ref="AI48:AI50"/>
    <mergeCell ref="AF39:AF41"/>
    <mergeCell ref="AG39:AG41"/>
    <mergeCell ref="AH39:AH41"/>
    <mergeCell ref="AI39:AI41"/>
    <mergeCell ref="AF42:AF44"/>
    <mergeCell ref="AG42:AG44"/>
    <mergeCell ref="AH42:AH44"/>
    <mergeCell ref="AI42:AI44"/>
    <mergeCell ref="AF33:AF35"/>
    <mergeCell ref="AG33:AG35"/>
    <mergeCell ref="AH33:AH35"/>
    <mergeCell ref="AI33:AI35"/>
    <mergeCell ref="AF36:AF38"/>
    <mergeCell ref="AG36:AG38"/>
    <mergeCell ref="AH36:AH38"/>
    <mergeCell ref="AI36:AI38"/>
    <mergeCell ref="AF27:AF29"/>
    <mergeCell ref="AG27:AG29"/>
    <mergeCell ref="AH27:AH29"/>
    <mergeCell ref="AI27:AI29"/>
    <mergeCell ref="AF30:AF32"/>
    <mergeCell ref="AG30:AG32"/>
    <mergeCell ref="AH30:AH32"/>
    <mergeCell ref="AI30:AI32"/>
    <mergeCell ref="AF21:AF23"/>
    <mergeCell ref="AG21:AG23"/>
    <mergeCell ref="AH21:AH23"/>
    <mergeCell ref="AI21:AI23"/>
    <mergeCell ref="AF24:AF26"/>
    <mergeCell ref="AG24:AG26"/>
    <mergeCell ref="AH24:AH26"/>
    <mergeCell ref="AI24:AI26"/>
    <mergeCell ref="AF15:AF17"/>
    <mergeCell ref="AG15:AG17"/>
    <mergeCell ref="AH15:AH17"/>
    <mergeCell ref="AI15:AI17"/>
    <mergeCell ref="AF18:AF20"/>
    <mergeCell ref="AG18:AG20"/>
    <mergeCell ref="AH18:AH20"/>
    <mergeCell ref="AI18:AI20"/>
    <mergeCell ref="AF9:AF11"/>
    <mergeCell ref="AG9:AG11"/>
    <mergeCell ref="AH9:AH11"/>
    <mergeCell ref="AI9:AI11"/>
    <mergeCell ref="AF12:AF14"/>
    <mergeCell ref="AG12:AG14"/>
    <mergeCell ref="AH12:AH14"/>
    <mergeCell ref="AI12:AI14"/>
    <mergeCell ref="AB1:AI1"/>
    <mergeCell ref="AF3:AF5"/>
    <mergeCell ref="AG3:AG5"/>
    <mergeCell ref="AH3:AH5"/>
    <mergeCell ref="AI3:AI5"/>
    <mergeCell ref="AF6:AF8"/>
    <mergeCell ref="AG6:AG8"/>
    <mergeCell ref="AH6:AH8"/>
    <mergeCell ref="AI6:AI8"/>
    <mergeCell ref="W51:W53"/>
    <mergeCell ref="X51:X53"/>
    <mergeCell ref="Y51:Y53"/>
    <mergeCell ref="Z51:Z53"/>
    <mergeCell ref="W54:W56"/>
    <mergeCell ref="X54:X56"/>
    <mergeCell ref="Y54:Y56"/>
    <mergeCell ref="Z54:Z56"/>
    <mergeCell ref="W45:W47"/>
    <mergeCell ref="X45:X47"/>
    <mergeCell ref="Y45:Y47"/>
    <mergeCell ref="Z45:Z47"/>
    <mergeCell ref="W48:W50"/>
    <mergeCell ref="X48:X50"/>
    <mergeCell ref="Y48:Y50"/>
    <mergeCell ref="Z48:Z50"/>
    <mergeCell ref="W39:W41"/>
    <mergeCell ref="X39:X41"/>
    <mergeCell ref="Y39:Y41"/>
    <mergeCell ref="Z39:Z41"/>
    <mergeCell ref="W42:W44"/>
    <mergeCell ref="X42:X44"/>
    <mergeCell ref="Y42:Y44"/>
    <mergeCell ref="Z42:Z44"/>
    <mergeCell ref="W33:W35"/>
    <mergeCell ref="X33:X35"/>
    <mergeCell ref="Y33:Y35"/>
    <mergeCell ref="Z33:Z35"/>
    <mergeCell ref="W36:W38"/>
    <mergeCell ref="X36:X38"/>
    <mergeCell ref="Y36:Y38"/>
    <mergeCell ref="Z36:Z38"/>
    <mergeCell ref="W27:W29"/>
    <mergeCell ref="X27:X29"/>
    <mergeCell ref="Y27:Y29"/>
    <mergeCell ref="Z27:Z29"/>
    <mergeCell ref="W30:W32"/>
    <mergeCell ref="X30:X32"/>
    <mergeCell ref="Y30:Y32"/>
    <mergeCell ref="Z30:Z32"/>
    <mergeCell ref="W21:W23"/>
    <mergeCell ref="X21:X23"/>
    <mergeCell ref="Y21:Y23"/>
    <mergeCell ref="Z21:Z23"/>
    <mergeCell ref="W24:W26"/>
    <mergeCell ref="X24:X26"/>
    <mergeCell ref="Y24:Y26"/>
    <mergeCell ref="Z24:Z26"/>
    <mergeCell ref="W15:W17"/>
    <mergeCell ref="X15:X17"/>
    <mergeCell ref="Y15:Y17"/>
    <mergeCell ref="Z15:Z17"/>
    <mergeCell ref="W18:W20"/>
    <mergeCell ref="X18:X20"/>
    <mergeCell ref="Y18:Y20"/>
    <mergeCell ref="Z18:Z20"/>
    <mergeCell ref="W9:W11"/>
    <mergeCell ref="X9:X11"/>
    <mergeCell ref="Y9:Y11"/>
    <mergeCell ref="Z9:Z11"/>
    <mergeCell ref="W12:W14"/>
    <mergeCell ref="X12:X14"/>
    <mergeCell ref="Y12:Y14"/>
    <mergeCell ref="Z12:Z14"/>
    <mergeCell ref="S1:Z1"/>
    <mergeCell ref="W3:W5"/>
    <mergeCell ref="X3:X5"/>
    <mergeCell ref="Y3:Y5"/>
    <mergeCell ref="Z3:Z5"/>
    <mergeCell ref="W6:W8"/>
    <mergeCell ref="X6:X8"/>
    <mergeCell ref="Y6:Y8"/>
    <mergeCell ref="Z6:Z8"/>
    <mergeCell ref="AX6:AX8"/>
    <mergeCell ref="AY6:AY8"/>
    <mergeCell ref="AZ6:AZ8"/>
    <mergeCell ref="BA6:BA8"/>
    <mergeCell ref="N51:N53"/>
    <mergeCell ref="O51:O53"/>
    <mergeCell ref="P51:P53"/>
    <mergeCell ref="Q51:Q53"/>
    <mergeCell ref="N54:N56"/>
    <mergeCell ref="O54:O56"/>
    <mergeCell ref="P54:P56"/>
    <mergeCell ref="Q54:Q56"/>
    <mergeCell ref="N45:N47"/>
    <mergeCell ref="O45:O47"/>
    <mergeCell ref="P45:P47"/>
    <mergeCell ref="Q45:Q47"/>
    <mergeCell ref="N48:N50"/>
    <mergeCell ref="O48:O50"/>
    <mergeCell ref="P48:P50"/>
    <mergeCell ref="Q48:Q50"/>
    <mergeCell ref="N39:N41"/>
    <mergeCell ref="O39:O41"/>
    <mergeCell ref="P39:P41"/>
    <mergeCell ref="Q39:Q41"/>
    <mergeCell ref="N42:N44"/>
    <mergeCell ref="O42:O44"/>
    <mergeCell ref="P42:P44"/>
    <mergeCell ref="Q42:Q44"/>
    <mergeCell ref="N33:N35"/>
    <mergeCell ref="O33:O35"/>
    <mergeCell ref="P33:P35"/>
    <mergeCell ref="Q33:Q35"/>
    <mergeCell ref="N36:N38"/>
    <mergeCell ref="O36:O38"/>
    <mergeCell ref="P36:P38"/>
    <mergeCell ref="Q36:Q38"/>
    <mergeCell ref="N27:N29"/>
    <mergeCell ref="O27:O29"/>
    <mergeCell ref="P27:P29"/>
    <mergeCell ref="Q27:Q29"/>
    <mergeCell ref="N30:N32"/>
    <mergeCell ref="O30:O32"/>
    <mergeCell ref="P30:P32"/>
    <mergeCell ref="Q30:Q32"/>
    <mergeCell ref="N21:N23"/>
    <mergeCell ref="O21:O23"/>
    <mergeCell ref="P21:P23"/>
    <mergeCell ref="Q21:Q23"/>
    <mergeCell ref="N24:N26"/>
    <mergeCell ref="O24:O26"/>
    <mergeCell ref="P24:P26"/>
    <mergeCell ref="Q24:Q26"/>
    <mergeCell ref="N15:N17"/>
    <mergeCell ref="O15:O17"/>
    <mergeCell ref="P15:P17"/>
    <mergeCell ref="Q15:Q17"/>
    <mergeCell ref="N18:N20"/>
    <mergeCell ref="O18:O20"/>
    <mergeCell ref="P18:P20"/>
    <mergeCell ref="Q18:Q20"/>
    <mergeCell ref="N9:N11"/>
    <mergeCell ref="O9:O11"/>
    <mergeCell ref="P9:P11"/>
    <mergeCell ref="Q9:Q11"/>
    <mergeCell ref="N12:N14"/>
    <mergeCell ref="O12:O14"/>
    <mergeCell ref="P12:P14"/>
    <mergeCell ref="Q12:Q14"/>
    <mergeCell ref="K1:Q1"/>
    <mergeCell ref="N3:N5"/>
    <mergeCell ref="O3:O5"/>
    <mergeCell ref="P3:P5"/>
    <mergeCell ref="Q3:Q5"/>
    <mergeCell ref="N6:N8"/>
    <mergeCell ref="O6:O8"/>
    <mergeCell ref="P6:P8"/>
    <mergeCell ref="Q6:Q8"/>
    <mergeCell ref="I48:I50"/>
    <mergeCell ref="E51:E53"/>
    <mergeCell ref="F51:F53"/>
    <mergeCell ref="H51:H53"/>
    <mergeCell ref="I51:I53"/>
    <mergeCell ref="E54:E56"/>
    <mergeCell ref="F54:F56"/>
    <mergeCell ref="H54:H56"/>
    <mergeCell ref="I54:I56"/>
    <mergeCell ref="A48:A56"/>
    <mergeCell ref="B48:B56"/>
    <mergeCell ref="E48:E50"/>
    <mergeCell ref="F48:F50"/>
    <mergeCell ref="G48:G56"/>
    <mergeCell ref="H48:H50"/>
    <mergeCell ref="I39:I41"/>
    <mergeCell ref="E42:E44"/>
    <mergeCell ref="F42:F44"/>
    <mergeCell ref="H42:H44"/>
    <mergeCell ref="I42:I44"/>
    <mergeCell ref="E45:E47"/>
    <mergeCell ref="F45:F47"/>
    <mergeCell ref="H45:H47"/>
    <mergeCell ref="I45:I47"/>
    <mergeCell ref="A39:A47"/>
    <mergeCell ref="B39:B47"/>
    <mergeCell ref="E39:E41"/>
    <mergeCell ref="F39:F41"/>
    <mergeCell ref="G39:G47"/>
    <mergeCell ref="H39:H41"/>
    <mergeCell ref="I30:I32"/>
    <mergeCell ref="E33:E35"/>
    <mergeCell ref="F33:F35"/>
    <mergeCell ref="H33:H35"/>
    <mergeCell ref="I33:I35"/>
    <mergeCell ref="E36:E38"/>
    <mergeCell ref="F36:F38"/>
    <mergeCell ref="H36:H38"/>
    <mergeCell ref="I36:I38"/>
    <mergeCell ref="A30:A38"/>
    <mergeCell ref="B30:B38"/>
    <mergeCell ref="E30:E32"/>
    <mergeCell ref="F30:F32"/>
    <mergeCell ref="G30:G38"/>
    <mergeCell ref="H30:H32"/>
    <mergeCell ref="F24:F26"/>
    <mergeCell ref="H24:H26"/>
    <mergeCell ref="I24:I26"/>
    <mergeCell ref="E27:E29"/>
    <mergeCell ref="F27:F29"/>
    <mergeCell ref="H27:H29"/>
    <mergeCell ref="I27:I29"/>
    <mergeCell ref="H18:H20"/>
    <mergeCell ref="I18:I20"/>
    <mergeCell ref="A21:A29"/>
    <mergeCell ref="B21:B29"/>
    <mergeCell ref="E21:E23"/>
    <mergeCell ref="F21:F23"/>
    <mergeCell ref="G21:G29"/>
    <mergeCell ref="H21:H23"/>
    <mergeCell ref="I21:I23"/>
    <mergeCell ref="E24:E26"/>
    <mergeCell ref="H12:H14"/>
    <mergeCell ref="I12:I14"/>
    <mergeCell ref="E15:E17"/>
    <mergeCell ref="F15:F17"/>
    <mergeCell ref="H15:H17"/>
    <mergeCell ref="I15:I17"/>
    <mergeCell ref="I6:I8"/>
    <mergeCell ref="E9:E11"/>
    <mergeCell ref="F9:F11"/>
    <mergeCell ref="H9:H11"/>
    <mergeCell ref="I9:I11"/>
    <mergeCell ref="A12:A20"/>
    <mergeCell ref="B12:B20"/>
    <mergeCell ref="E12:E14"/>
    <mergeCell ref="F12:F14"/>
    <mergeCell ref="G12:G20"/>
    <mergeCell ref="C1:J1"/>
    <mergeCell ref="A3:A11"/>
    <mergeCell ref="B3:B11"/>
    <mergeCell ref="E3:E5"/>
    <mergeCell ref="F3:F5"/>
    <mergeCell ref="H3:H5"/>
    <mergeCell ref="I3:I5"/>
    <mergeCell ref="E6:E8"/>
    <mergeCell ref="F6:F8"/>
    <mergeCell ref="H6:H8"/>
    <mergeCell ref="E18:E20"/>
    <mergeCell ref="F18:F20"/>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9785-BE5B-4EED-B8A9-0A0591B5BECE}">
  <dimension ref="A1"/>
  <sheetViews>
    <sheetView workbookViewId="0"/>
  </sheetViews>
  <sheetFormatPr defaultRowHeight="15.6"/>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A0911-27A9-BD46-8F55-684AE2E59AD4}">
  <dimension ref="A2:BP176"/>
  <sheetViews>
    <sheetView topLeftCell="A49" zoomScale="88" zoomScaleNormal="75" workbookViewId="0">
      <selection activeCell="BG43" sqref="BG43:BN98"/>
    </sheetView>
  </sheetViews>
  <sheetFormatPr defaultColWidth="11" defaultRowHeight="15.6"/>
  <cols>
    <col min="1" max="1" width="6.5" customWidth="1"/>
    <col min="2" max="2" width="5" customWidth="1"/>
  </cols>
  <sheetData>
    <row r="2" spans="1:64" ht="16.2" thickBot="1">
      <c r="A2" s="1"/>
      <c r="B2" s="1"/>
      <c r="C2" s="1"/>
      <c r="D2" s="1"/>
      <c r="E2" s="1"/>
      <c r="F2" s="1"/>
      <c r="G2" s="1"/>
      <c r="H2" s="1"/>
      <c r="I2" s="1"/>
      <c r="J2" s="1"/>
      <c r="K2" s="1"/>
      <c r="L2" s="1"/>
      <c r="M2" s="1"/>
      <c r="N2" s="1"/>
      <c r="O2" s="1"/>
      <c r="P2" s="1"/>
      <c r="Q2" s="1"/>
      <c r="R2" s="1"/>
      <c r="S2" s="1"/>
      <c r="T2" s="1"/>
      <c r="U2" s="1"/>
      <c r="V2" s="1"/>
    </row>
    <row r="3" spans="1:64" ht="16.2" thickBot="1">
      <c r="A3" s="1"/>
      <c r="B3" s="1"/>
      <c r="E3" s="718" t="s">
        <v>36</v>
      </c>
      <c r="F3" s="719"/>
      <c r="G3" s="719"/>
      <c r="H3" s="720"/>
      <c r="K3" s="1"/>
      <c r="L3" s="1"/>
      <c r="M3" s="1"/>
      <c r="N3" s="1"/>
      <c r="Q3" s="718" t="s">
        <v>37</v>
      </c>
      <c r="R3" s="719"/>
      <c r="S3" s="719"/>
      <c r="T3" s="720"/>
      <c r="U3" s="1"/>
      <c r="V3" s="1"/>
      <c r="Z3" s="150"/>
      <c r="AA3" s="150"/>
      <c r="AB3" s="718" t="s">
        <v>38</v>
      </c>
      <c r="AC3" s="719"/>
      <c r="AD3" s="719"/>
      <c r="AE3" s="720"/>
      <c r="AK3" s="150"/>
      <c r="AL3" s="150"/>
      <c r="AM3" s="718" t="s">
        <v>39</v>
      </c>
      <c r="AN3" s="719"/>
      <c r="AO3" s="719"/>
      <c r="AP3" s="720"/>
      <c r="AV3" s="150"/>
      <c r="AW3" s="150"/>
      <c r="AX3" s="718" t="s">
        <v>40</v>
      </c>
      <c r="AY3" s="719"/>
      <c r="AZ3" s="719"/>
      <c r="BA3" s="720"/>
      <c r="BI3" s="718" t="s">
        <v>41</v>
      </c>
      <c r="BJ3" s="719"/>
      <c r="BK3" s="719"/>
      <c r="BL3" s="720"/>
    </row>
    <row r="4" spans="1:64">
      <c r="A4" s="1"/>
      <c r="B4" s="1"/>
      <c r="E4" s="2" t="s">
        <v>0</v>
      </c>
      <c r="F4" s="3" t="s">
        <v>1</v>
      </c>
      <c r="G4" s="3" t="s">
        <v>2</v>
      </c>
      <c r="H4" s="4" t="s">
        <v>3</v>
      </c>
      <c r="K4" s="145"/>
      <c r="L4" s="145"/>
      <c r="M4" s="145"/>
      <c r="N4" s="1"/>
      <c r="Q4" s="2" t="s">
        <v>0</v>
      </c>
      <c r="R4" s="3" t="s">
        <v>1</v>
      </c>
      <c r="S4" s="3" t="s">
        <v>2</v>
      </c>
      <c r="T4" s="4" t="s">
        <v>3</v>
      </c>
      <c r="U4" s="1"/>
      <c r="V4" s="1"/>
      <c r="Z4" s="19"/>
      <c r="AA4" s="19"/>
      <c r="AB4" s="2" t="s">
        <v>0</v>
      </c>
      <c r="AC4" s="3" t="s">
        <v>1</v>
      </c>
      <c r="AD4" s="3" t="s">
        <v>2</v>
      </c>
      <c r="AE4" s="4" t="s">
        <v>3</v>
      </c>
      <c r="AK4" s="19"/>
      <c r="AL4" s="19"/>
      <c r="AM4" s="2" t="s">
        <v>0</v>
      </c>
      <c r="AN4" s="3" t="s">
        <v>1</v>
      </c>
      <c r="AO4" s="3" t="s">
        <v>2</v>
      </c>
      <c r="AP4" s="4" t="s">
        <v>3</v>
      </c>
      <c r="AV4" s="19"/>
      <c r="AW4" s="19"/>
      <c r="AX4" s="2" t="s">
        <v>0</v>
      </c>
      <c r="AY4" s="3" t="s">
        <v>1</v>
      </c>
      <c r="AZ4" s="3" t="s">
        <v>2</v>
      </c>
      <c r="BA4" s="4" t="s">
        <v>3</v>
      </c>
      <c r="BI4" s="2" t="s">
        <v>0</v>
      </c>
      <c r="BJ4" s="3" t="s">
        <v>1</v>
      </c>
      <c r="BK4" s="3" t="s">
        <v>2</v>
      </c>
      <c r="BL4" s="4" t="s">
        <v>3</v>
      </c>
    </row>
    <row r="5" spans="1:64">
      <c r="A5" s="1"/>
      <c r="B5" s="1"/>
      <c r="E5" s="21"/>
      <c r="F5" s="22"/>
      <c r="G5" s="22"/>
      <c r="H5" s="23"/>
      <c r="L5" s="147"/>
      <c r="M5" s="147"/>
      <c r="N5" s="1"/>
      <c r="Q5" s="21"/>
      <c r="R5" s="22"/>
      <c r="S5" s="22"/>
      <c r="T5" s="23"/>
      <c r="U5" s="1"/>
      <c r="V5" s="1"/>
      <c r="Z5" s="148"/>
      <c r="AA5" s="148"/>
      <c r="AB5" s="21"/>
      <c r="AC5" s="22"/>
      <c r="AD5" s="22"/>
      <c r="AE5" s="23"/>
      <c r="AK5" s="148"/>
      <c r="AL5" s="148"/>
      <c r="AM5" s="21"/>
      <c r="AN5" s="22"/>
      <c r="AO5" s="22"/>
      <c r="AP5" s="23"/>
      <c r="AV5" s="148"/>
      <c r="AW5" s="148"/>
      <c r="AX5" s="21"/>
      <c r="AY5" s="22"/>
      <c r="AZ5" s="22"/>
      <c r="BA5" s="23"/>
      <c r="BI5" s="21"/>
      <c r="BJ5" s="22"/>
      <c r="BK5" s="22"/>
      <c r="BL5" s="23"/>
    </row>
    <row r="6" spans="1:64">
      <c r="A6" s="1"/>
      <c r="B6" s="1"/>
      <c r="E6" s="21"/>
      <c r="F6" s="22"/>
      <c r="G6" s="22"/>
      <c r="H6" s="23"/>
      <c r="L6" s="1"/>
      <c r="M6" s="1"/>
      <c r="N6" s="1"/>
      <c r="Q6" s="21"/>
      <c r="R6" s="22"/>
      <c r="S6" s="22"/>
      <c r="T6" s="23"/>
      <c r="U6" s="1"/>
      <c r="V6" s="1"/>
      <c r="Z6" s="148"/>
      <c r="AA6" s="148"/>
      <c r="AB6" s="21"/>
      <c r="AC6" s="22"/>
      <c r="AD6" s="22"/>
      <c r="AE6" s="23"/>
      <c r="AK6" s="148"/>
      <c r="AL6" s="148"/>
      <c r="AM6" s="21"/>
      <c r="AN6" s="22"/>
      <c r="AO6" s="22"/>
      <c r="AP6" s="23"/>
      <c r="AV6" s="148"/>
      <c r="AW6" s="148"/>
      <c r="AX6" s="21"/>
      <c r="AY6" s="22"/>
      <c r="AZ6" s="22"/>
      <c r="BA6" s="23"/>
      <c r="BI6" s="21"/>
      <c r="BJ6" s="22"/>
      <c r="BK6" s="22"/>
      <c r="BL6" s="23"/>
    </row>
    <row r="7" spans="1:64">
      <c r="A7" s="1"/>
      <c r="B7" s="1"/>
      <c r="E7" s="21"/>
      <c r="F7" s="22"/>
      <c r="G7" s="22"/>
      <c r="H7" s="23"/>
      <c r="L7" s="1"/>
      <c r="M7" s="1"/>
      <c r="N7" s="1"/>
      <c r="Q7" s="21"/>
      <c r="R7" s="22"/>
      <c r="S7" s="22"/>
      <c r="T7" s="23"/>
      <c r="U7" s="1"/>
      <c r="V7" s="1"/>
      <c r="Z7" s="148"/>
      <c r="AA7" s="148"/>
      <c r="AB7" s="21"/>
      <c r="AC7" s="22"/>
      <c r="AD7" s="22"/>
      <c r="AE7" s="23"/>
      <c r="AK7" s="148"/>
      <c r="AL7" s="148"/>
      <c r="AM7" s="21"/>
      <c r="AN7" s="22"/>
      <c r="AO7" s="22"/>
      <c r="AP7" s="23"/>
      <c r="AV7" s="148"/>
      <c r="AW7" s="148"/>
      <c r="AX7" s="21"/>
      <c r="AY7" s="22"/>
      <c r="AZ7" s="22"/>
      <c r="BA7" s="23"/>
      <c r="BI7" s="21"/>
      <c r="BJ7" s="22"/>
      <c r="BK7" s="22"/>
      <c r="BL7" s="23"/>
    </row>
    <row r="8" spans="1:64">
      <c r="A8" s="1"/>
      <c r="B8" s="1"/>
      <c r="E8" s="24"/>
      <c r="F8" s="25"/>
      <c r="G8" s="25"/>
      <c r="H8" s="26"/>
      <c r="L8" s="1"/>
      <c r="M8" s="1"/>
      <c r="N8" s="1"/>
      <c r="Q8" s="24"/>
      <c r="R8" s="25"/>
      <c r="S8" s="25"/>
      <c r="T8" s="26"/>
      <c r="U8" s="1"/>
      <c r="V8" s="1"/>
      <c r="Z8" s="149"/>
      <c r="AA8" s="149"/>
      <c r="AB8" s="24"/>
      <c r="AC8" s="25"/>
      <c r="AD8" s="25"/>
      <c r="AE8" s="26"/>
      <c r="AK8" s="149"/>
      <c r="AL8" s="149"/>
      <c r="AM8" s="24"/>
      <c r="AN8" s="25"/>
      <c r="AO8" s="25"/>
      <c r="AP8" s="26"/>
      <c r="AV8" s="149"/>
      <c r="AW8" s="149"/>
      <c r="AX8" s="24"/>
      <c r="AY8" s="25"/>
      <c r="AZ8" s="25"/>
      <c r="BA8" s="26"/>
      <c r="BI8" s="24"/>
      <c r="BJ8" s="25"/>
      <c r="BK8" s="25"/>
      <c r="BL8" s="26"/>
    </row>
    <row r="9" spans="1:64">
      <c r="A9" s="1"/>
      <c r="B9" s="1"/>
      <c r="E9" s="24"/>
      <c r="F9" s="25"/>
      <c r="G9" s="25"/>
      <c r="H9" s="26"/>
      <c r="L9" s="1"/>
      <c r="M9" s="1"/>
      <c r="N9" s="1"/>
      <c r="Q9" s="24"/>
      <c r="R9" s="25"/>
      <c r="S9" s="25"/>
      <c r="T9" s="26"/>
      <c r="U9" s="1"/>
      <c r="V9" s="1"/>
      <c r="Z9" s="149"/>
      <c r="AA9" s="149"/>
      <c r="AB9" s="24"/>
      <c r="AC9" s="25"/>
      <c r="AD9" s="25"/>
      <c r="AE9" s="26"/>
      <c r="AK9" s="149"/>
      <c r="AL9" s="149"/>
      <c r="AM9" s="24"/>
      <c r="AN9" s="25"/>
      <c r="AO9" s="25"/>
      <c r="AP9" s="26"/>
      <c r="AV9" s="149"/>
      <c r="AW9" s="149"/>
      <c r="AX9" s="24"/>
      <c r="AY9" s="25"/>
      <c r="AZ9" s="25"/>
      <c r="BA9" s="26"/>
      <c r="BI9" s="24"/>
      <c r="BJ9" s="25"/>
      <c r="BK9" s="25"/>
      <c r="BL9" s="26"/>
    </row>
    <row r="10" spans="1:64">
      <c r="A10" s="1"/>
      <c r="B10" s="1"/>
      <c r="E10" s="24"/>
      <c r="F10" s="25"/>
      <c r="G10" s="25"/>
      <c r="H10" s="26"/>
      <c r="L10" s="1"/>
      <c r="M10" s="1"/>
      <c r="N10" s="1"/>
      <c r="Q10" s="24"/>
      <c r="R10" s="25"/>
      <c r="S10" s="25"/>
      <c r="T10" s="26"/>
      <c r="U10" s="1"/>
      <c r="V10" s="1"/>
      <c r="Z10" s="149"/>
      <c r="AA10" s="149"/>
      <c r="AB10" s="24"/>
      <c r="AC10" s="25"/>
      <c r="AD10" s="25"/>
      <c r="AE10" s="26"/>
      <c r="AK10" s="149"/>
      <c r="AL10" s="149"/>
      <c r="AM10" s="24"/>
      <c r="AN10" s="25"/>
      <c r="AO10" s="25"/>
      <c r="AP10" s="26"/>
      <c r="AV10" s="149"/>
      <c r="AW10" s="149"/>
      <c r="AX10" s="24"/>
      <c r="AY10" s="25"/>
      <c r="AZ10" s="25"/>
      <c r="BA10" s="26"/>
      <c r="BI10" s="24"/>
      <c r="BJ10" s="25"/>
      <c r="BK10" s="25"/>
      <c r="BL10" s="26"/>
    </row>
    <row r="11" spans="1:64">
      <c r="A11" s="1"/>
      <c r="B11" s="1"/>
      <c r="E11" s="21"/>
      <c r="F11" s="22"/>
      <c r="G11" s="22"/>
      <c r="H11" s="23"/>
      <c r="L11" s="1"/>
      <c r="M11" s="1"/>
      <c r="N11" s="1"/>
      <c r="Q11" s="21"/>
      <c r="R11" s="22"/>
      <c r="S11" s="22"/>
      <c r="T11" s="23"/>
      <c r="U11" s="1"/>
      <c r="V11" s="1"/>
      <c r="Z11" s="148"/>
      <c r="AA11" s="148"/>
      <c r="AB11" s="21"/>
      <c r="AC11" s="22"/>
      <c r="AD11" s="22"/>
      <c r="AE11" s="23"/>
      <c r="AK11" s="148"/>
      <c r="AL11" s="148"/>
      <c r="AM11" s="21"/>
      <c r="AN11" s="22"/>
      <c r="AO11" s="22"/>
      <c r="AP11" s="23"/>
      <c r="AV11" s="148"/>
      <c r="AW11" s="148"/>
      <c r="AX11" s="21"/>
      <c r="AY11" s="22"/>
      <c r="AZ11" s="22"/>
      <c r="BA11" s="23"/>
      <c r="BI11" s="21"/>
      <c r="BJ11" s="22"/>
      <c r="BK11" s="22"/>
      <c r="BL11" s="23"/>
    </row>
    <row r="12" spans="1:64">
      <c r="A12" s="1"/>
      <c r="B12" s="1"/>
      <c r="E12" s="21"/>
      <c r="F12" s="22"/>
      <c r="G12" s="22"/>
      <c r="H12" s="23"/>
      <c r="N12" s="1"/>
      <c r="Q12" s="21"/>
      <c r="R12" s="22"/>
      <c r="S12" s="22"/>
      <c r="T12" s="23"/>
      <c r="U12" s="1"/>
      <c r="V12" s="1"/>
      <c r="Z12" s="148"/>
      <c r="AA12" s="148"/>
      <c r="AB12" s="21"/>
      <c r="AC12" s="22"/>
      <c r="AD12" s="22"/>
      <c r="AE12" s="23"/>
      <c r="AK12" s="148"/>
      <c r="AL12" s="148"/>
      <c r="AM12" s="21"/>
      <c r="AN12" s="22"/>
      <c r="AO12" s="22"/>
      <c r="AP12" s="23"/>
      <c r="AV12" s="148"/>
      <c r="AW12" s="148"/>
      <c r="AX12" s="21"/>
      <c r="AY12" s="22"/>
      <c r="AZ12" s="22"/>
      <c r="BA12" s="23"/>
      <c r="BI12" s="21"/>
      <c r="BJ12" s="22"/>
      <c r="BK12" s="22"/>
      <c r="BL12" s="23"/>
    </row>
    <row r="13" spans="1:64" ht="16.2" thickBot="1">
      <c r="A13" s="1"/>
      <c r="E13" s="21"/>
      <c r="F13" s="22"/>
      <c r="G13" s="22"/>
      <c r="H13" s="23"/>
      <c r="N13" s="20"/>
      <c r="Q13" s="21"/>
      <c r="R13" s="22"/>
      <c r="S13" s="22"/>
      <c r="T13" s="23"/>
      <c r="U13" s="1"/>
      <c r="V13" s="1"/>
      <c r="Z13" s="148"/>
      <c r="AA13" s="148"/>
      <c r="AB13" s="21"/>
      <c r="AC13" s="22"/>
      <c r="AD13" s="22"/>
      <c r="AE13" s="23"/>
      <c r="AK13" s="148"/>
      <c r="AL13" s="148"/>
      <c r="AM13" s="21"/>
      <c r="AN13" s="22"/>
      <c r="AO13" s="22"/>
      <c r="AP13" s="23"/>
      <c r="AV13" s="148"/>
      <c r="AW13" s="148"/>
      <c r="AX13" s="21"/>
      <c r="AY13" s="22"/>
      <c r="AZ13" s="22"/>
      <c r="BA13" s="23"/>
      <c r="BI13" s="21"/>
      <c r="BJ13" s="22"/>
      <c r="BK13" s="22"/>
      <c r="BL13" s="23"/>
    </row>
    <row r="14" spans="1:64" ht="16.2" thickBot="1">
      <c r="E14" s="21"/>
      <c r="F14" s="22"/>
      <c r="G14" s="22"/>
      <c r="H14" s="23"/>
      <c r="Q14" s="21"/>
      <c r="R14" s="22"/>
      <c r="S14" s="22"/>
      <c r="T14" s="23"/>
      <c r="U14" s="1"/>
      <c r="V14" s="1"/>
      <c r="W14" s="877" t="s">
        <v>16</v>
      </c>
      <c r="X14" s="878"/>
      <c r="Y14" s="879"/>
      <c r="Z14" s="148"/>
      <c r="AA14" s="148"/>
      <c r="AB14" s="21"/>
      <c r="AC14" s="22"/>
      <c r="AD14" s="22"/>
      <c r="AE14" s="23"/>
      <c r="AH14" s="877" t="s">
        <v>16</v>
      </c>
      <c r="AI14" s="878"/>
      <c r="AJ14" s="879"/>
      <c r="AK14" s="148"/>
      <c r="AL14" s="148"/>
      <c r="AM14" s="21"/>
      <c r="AN14" s="22"/>
      <c r="AO14" s="22"/>
      <c r="AP14" s="23"/>
      <c r="AS14" s="877" t="s">
        <v>16</v>
      </c>
      <c r="AT14" s="878"/>
      <c r="AU14" s="879"/>
      <c r="AV14" s="148"/>
      <c r="AW14" s="148"/>
      <c r="AX14" s="21"/>
      <c r="AY14" s="22"/>
      <c r="AZ14" s="22"/>
      <c r="BA14" s="23"/>
      <c r="BD14" s="877" t="s">
        <v>16</v>
      </c>
      <c r="BE14" s="878"/>
      <c r="BF14" s="879"/>
      <c r="BI14" s="21"/>
      <c r="BJ14" s="22"/>
      <c r="BK14" s="22"/>
      <c r="BL14" s="23"/>
    </row>
    <row r="15" spans="1:64" ht="16.2" thickBot="1">
      <c r="E15" s="21"/>
      <c r="F15" s="22"/>
      <c r="G15" s="22"/>
      <c r="H15" s="23"/>
      <c r="K15" s="877" t="s">
        <v>16</v>
      </c>
      <c r="L15" s="878"/>
      <c r="M15" s="879"/>
      <c r="Q15" s="21"/>
      <c r="R15" s="22"/>
      <c r="S15" s="22"/>
      <c r="T15" s="23"/>
      <c r="U15" s="1"/>
      <c r="V15" s="1"/>
      <c r="W15" s="673"/>
      <c r="X15" s="674" t="s">
        <v>29</v>
      </c>
      <c r="Y15" s="676" t="s">
        <v>30</v>
      </c>
      <c r="Z15" s="148"/>
      <c r="AA15" s="148"/>
      <c r="AB15" s="21"/>
      <c r="AC15" s="22"/>
      <c r="AD15" s="22"/>
      <c r="AE15" s="23"/>
      <c r="AH15" s="673"/>
      <c r="AI15" s="674" t="s">
        <v>29</v>
      </c>
      <c r="AJ15" s="676" t="s">
        <v>30</v>
      </c>
      <c r="AK15" s="148"/>
      <c r="AL15" s="148"/>
      <c r="AM15" s="21"/>
      <c r="AN15" s="22"/>
      <c r="AO15" s="22"/>
      <c r="AP15" s="23"/>
      <c r="AS15" s="673"/>
      <c r="AT15" s="674" t="s">
        <v>29</v>
      </c>
      <c r="AU15" s="676" t="s">
        <v>30</v>
      </c>
      <c r="AV15" s="148"/>
      <c r="AW15" s="148"/>
      <c r="AX15" s="21"/>
      <c r="AY15" s="22"/>
      <c r="AZ15" s="22"/>
      <c r="BA15" s="23"/>
      <c r="BD15" s="673"/>
      <c r="BE15" s="674" t="s">
        <v>29</v>
      </c>
      <c r="BF15" s="676" t="s">
        <v>30</v>
      </c>
      <c r="BI15" s="21"/>
      <c r="BJ15" s="22"/>
      <c r="BK15" s="22"/>
      <c r="BL15" s="23"/>
    </row>
    <row r="16" spans="1:64">
      <c r="E16" s="21"/>
      <c r="F16" s="22"/>
      <c r="G16" s="22"/>
      <c r="H16" s="23"/>
      <c r="K16" s="673"/>
      <c r="L16" s="674" t="s">
        <v>29</v>
      </c>
      <c r="M16" s="676" t="s">
        <v>30</v>
      </c>
      <c r="Q16" s="21"/>
      <c r="R16" s="22"/>
      <c r="S16" s="22"/>
      <c r="T16" s="23"/>
      <c r="U16" s="1"/>
      <c r="V16" s="1"/>
      <c r="W16" s="677" t="s">
        <v>17</v>
      </c>
      <c r="X16" s="684"/>
      <c r="Y16" s="690"/>
      <c r="Z16" s="148"/>
      <c r="AA16" s="148"/>
      <c r="AB16" s="21"/>
      <c r="AC16" s="22"/>
      <c r="AD16" s="22"/>
      <c r="AE16" s="23"/>
      <c r="AH16" s="677" t="s">
        <v>17</v>
      </c>
      <c r="AI16" s="684"/>
      <c r="AJ16" s="690"/>
      <c r="AK16" s="148"/>
      <c r="AL16" s="148"/>
      <c r="AM16" s="21"/>
      <c r="AN16" s="22"/>
      <c r="AO16" s="22"/>
      <c r="AP16" s="23"/>
      <c r="AS16" s="677" t="s">
        <v>17</v>
      </c>
      <c r="AT16" s="684"/>
      <c r="AU16" s="690"/>
      <c r="AV16" s="148"/>
      <c r="AW16" s="148"/>
      <c r="AX16" s="21"/>
      <c r="AY16" s="22"/>
      <c r="AZ16" s="22"/>
      <c r="BA16" s="23"/>
      <c r="BD16" s="677" t="s">
        <v>17</v>
      </c>
      <c r="BE16" s="684"/>
      <c r="BF16" s="690"/>
      <c r="BI16" s="21"/>
      <c r="BJ16" s="22"/>
      <c r="BK16" s="22"/>
      <c r="BL16" s="23"/>
    </row>
    <row r="17" spans="5:64">
      <c r="E17" s="21"/>
      <c r="F17" s="22"/>
      <c r="G17" s="22"/>
      <c r="H17" s="23"/>
      <c r="K17" s="677" t="s">
        <v>17</v>
      </c>
      <c r="L17" s="684"/>
      <c r="M17" s="690"/>
      <c r="Q17" s="21"/>
      <c r="R17" s="22"/>
      <c r="S17" s="22"/>
      <c r="T17" s="23"/>
      <c r="U17" s="1"/>
      <c r="V17" s="1"/>
      <c r="W17" s="677" t="s">
        <v>18</v>
      </c>
      <c r="X17" s="685"/>
      <c r="Y17" s="691"/>
      <c r="Z17" s="148"/>
      <c r="AA17" s="148"/>
      <c r="AB17" s="21"/>
      <c r="AC17" s="22"/>
      <c r="AD17" s="22"/>
      <c r="AE17" s="23"/>
      <c r="AH17" s="677" t="s">
        <v>18</v>
      </c>
      <c r="AI17" s="685"/>
      <c r="AJ17" s="691"/>
      <c r="AK17" s="148"/>
      <c r="AL17" s="148"/>
      <c r="AM17" s="21"/>
      <c r="AN17" s="22"/>
      <c r="AO17" s="22"/>
      <c r="AP17" s="23"/>
      <c r="AS17" s="677" t="s">
        <v>18</v>
      </c>
      <c r="AT17" s="685"/>
      <c r="AU17" s="691"/>
      <c r="AV17" s="148"/>
      <c r="AW17" s="148"/>
      <c r="AX17" s="21"/>
      <c r="AY17" s="22"/>
      <c r="AZ17" s="22"/>
      <c r="BA17" s="23"/>
      <c r="BD17" s="677" t="s">
        <v>18</v>
      </c>
      <c r="BE17" s="685"/>
      <c r="BF17" s="691"/>
      <c r="BI17" s="21"/>
      <c r="BJ17" s="22"/>
      <c r="BK17" s="22"/>
      <c r="BL17" s="23"/>
    </row>
    <row r="18" spans="5:64">
      <c r="E18" s="21"/>
      <c r="F18" s="22"/>
      <c r="G18" s="22"/>
      <c r="H18" s="23"/>
      <c r="K18" s="677" t="s">
        <v>18</v>
      </c>
      <c r="L18" s="685"/>
      <c r="M18" s="691"/>
      <c r="Q18" s="21"/>
      <c r="R18" s="22"/>
      <c r="S18" s="22"/>
      <c r="T18" s="23"/>
      <c r="U18" s="1"/>
      <c r="V18" s="1"/>
      <c r="W18" s="677" t="s">
        <v>4</v>
      </c>
      <c r="X18" s="686"/>
      <c r="Y18" s="692"/>
      <c r="Z18" s="148"/>
      <c r="AA18" s="148"/>
      <c r="AB18" s="21"/>
      <c r="AC18" s="22"/>
      <c r="AD18" s="22"/>
      <c r="AE18" s="23"/>
      <c r="AH18" s="677" t="s">
        <v>4</v>
      </c>
      <c r="AI18" s="686"/>
      <c r="AJ18" s="692"/>
      <c r="AK18" s="148"/>
      <c r="AL18" s="148"/>
      <c r="AM18" s="21"/>
      <c r="AN18" s="22"/>
      <c r="AO18" s="22"/>
      <c r="AP18" s="23"/>
      <c r="AS18" s="677" t="s">
        <v>4</v>
      </c>
      <c r="AT18" s="686"/>
      <c r="AU18" s="692"/>
      <c r="AV18" s="148"/>
      <c r="AW18" s="148"/>
      <c r="AX18" s="21"/>
      <c r="AY18" s="22"/>
      <c r="AZ18" s="22"/>
      <c r="BA18" s="23"/>
      <c r="BD18" s="677" t="s">
        <v>4</v>
      </c>
      <c r="BE18" s="686"/>
      <c r="BF18" s="692"/>
      <c r="BI18" s="21"/>
      <c r="BJ18" s="22"/>
      <c r="BK18" s="22"/>
      <c r="BL18" s="23"/>
    </row>
    <row r="19" spans="5:64">
      <c r="E19" s="21"/>
      <c r="F19" s="22"/>
      <c r="G19" s="22"/>
      <c r="H19" s="23"/>
      <c r="K19" s="677" t="s">
        <v>4</v>
      </c>
      <c r="L19" s="686"/>
      <c r="M19" s="692"/>
      <c r="Q19" s="21"/>
      <c r="R19" s="22"/>
      <c r="S19" s="22"/>
      <c r="T19" s="23"/>
      <c r="U19" s="1"/>
      <c r="V19" s="1"/>
      <c r="W19" s="677" t="s">
        <v>5</v>
      </c>
      <c r="X19" s="687"/>
      <c r="Y19" s="693"/>
      <c r="Z19" s="148"/>
      <c r="AA19" s="148"/>
      <c r="AB19" s="21"/>
      <c r="AC19" s="22"/>
      <c r="AD19" s="22"/>
      <c r="AE19" s="23"/>
      <c r="AH19" s="677" t="s">
        <v>5</v>
      </c>
      <c r="AI19" s="687"/>
      <c r="AJ19" s="693"/>
      <c r="AK19" s="148"/>
      <c r="AL19" s="148"/>
      <c r="AM19" s="21"/>
      <c r="AN19" s="22"/>
      <c r="AO19" s="22"/>
      <c r="AP19" s="23"/>
      <c r="AS19" s="677" t="s">
        <v>5</v>
      </c>
      <c r="AT19" s="687"/>
      <c r="AU19" s="693"/>
      <c r="AV19" s="148"/>
      <c r="AW19" s="148"/>
      <c r="AX19" s="21"/>
      <c r="AY19" s="22"/>
      <c r="AZ19" s="22"/>
      <c r="BA19" s="23"/>
      <c r="BD19" s="677" t="s">
        <v>5</v>
      </c>
      <c r="BE19" s="687"/>
      <c r="BF19" s="693"/>
      <c r="BI19" s="21"/>
      <c r="BJ19" s="22"/>
      <c r="BK19" s="22"/>
      <c r="BL19" s="23"/>
    </row>
    <row r="20" spans="5:64">
      <c r="E20" s="24"/>
      <c r="F20" s="25"/>
      <c r="G20" s="25"/>
      <c r="H20" s="26"/>
      <c r="K20" s="677" t="s">
        <v>5</v>
      </c>
      <c r="L20" s="687"/>
      <c r="M20" s="693"/>
      <c r="Q20" s="24"/>
      <c r="R20" s="25"/>
      <c r="S20" s="25"/>
      <c r="T20" s="26"/>
      <c r="U20" s="1"/>
      <c r="V20" s="1"/>
      <c r="W20" s="678" t="s">
        <v>7</v>
      </c>
      <c r="X20" s="688"/>
      <c r="Y20" s="694"/>
      <c r="Z20" s="149"/>
      <c r="AA20" s="149"/>
      <c r="AB20" s="24"/>
      <c r="AC20" s="25"/>
      <c r="AD20" s="25"/>
      <c r="AE20" s="26"/>
      <c r="AH20" s="678" t="s">
        <v>7</v>
      </c>
      <c r="AI20" s="688"/>
      <c r="AJ20" s="694"/>
      <c r="AK20" s="149"/>
      <c r="AL20" s="149"/>
      <c r="AM20" s="24"/>
      <c r="AN20" s="25"/>
      <c r="AO20" s="25"/>
      <c r="AP20" s="26"/>
      <c r="AS20" s="678" t="s">
        <v>7</v>
      </c>
      <c r="AT20" s="688"/>
      <c r="AU20" s="694"/>
      <c r="AV20" s="149"/>
      <c r="AW20" s="149"/>
      <c r="AX20" s="24"/>
      <c r="AY20" s="25"/>
      <c r="AZ20" s="25"/>
      <c r="BA20" s="26"/>
      <c r="BD20" s="678" t="s">
        <v>7</v>
      </c>
      <c r="BE20" s="688"/>
      <c r="BF20" s="694"/>
      <c r="BI20" s="24"/>
      <c r="BJ20" s="25"/>
      <c r="BK20" s="25"/>
      <c r="BL20" s="26"/>
    </row>
    <row r="21" spans="5:64" ht="16.8" thickBot="1">
      <c r="E21" s="24"/>
      <c r="F21" s="25"/>
      <c r="G21" s="25"/>
      <c r="H21" s="26"/>
      <c r="K21" s="678" t="s">
        <v>7</v>
      </c>
      <c r="L21" s="688"/>
      <c r="M21" s="694"/>
      <c r="Q21" s="24"/>
      <c r="R21" s="25"/>
      <c r="S21" s="25"/>
      <c r="T21" s="26"/>
      <c r="U21" s="1"/>
      <c r="V21" s="1"/>
      <c r="W21" s="679" t="s">
        <v>8</v>
      </c>
      <c r="X21" s="689"/>
      <c r="Y21" s="695"/>
      <c r="Z21" s="149"/>
      <c r="AA21" s="149"/>
      <c r="AB21" s="24"/>
      <c r="AC21" s="25"/>
      <c r="AD21" s="25"/>
      <c r="AE21" s="26"/>
      <c r="AH21" s="679" t="s">
        <v>8</v>
      </c>
      <c r="AI21" s="689"/>
      <c r="AJ21" s="695"/>
      <c r="AK21" s="149"/>
      <c r="AL21" s="149"/>
      <c r="AM21" s="24"/>
      <c r="AN21" s="25"/>
      <c r="AO21" s="25"/>
      <c r="AP21" s="26"/>
      <c r="AS21" s="679" t="s">
        <v>8</v>
      </c>
      <c r="AT21" s="689"/>
      <c r="AU21" s="695"/>
      <c r="AV21" s="149"/>
      <c r="AW21" s="149"/>
      <c r="AX21" s="24"/>
      <c r="AY21" s="25"/>
      <c r="AZ21" s="25"/>
      <c r="BA21" s="26"/>
      <c r="BD21" s="679" t="s">
        <v>8</v>
      </c>
      <c r="BE21" s="689"/>
      <c r="BF21" s="695"/>
      <c r="BI21" s="24"/>
      <c r="BJ21" s="25"/>
      <c r="BK21" s="25"/>
      <c r="BL21" s="26"/>
    </row>
    <row r="22" spans="5:64" ht="16.8" thickBot="1">
      <c r="E22" s="24"/>
      <c r="F22" s="25"/>
      <c r="G22" s="25"/>
      <c r="H22" s="26"/>
      <c r="K22" s="679" t="s">
        <v>8</v>
      </c>
      <c r="L22" s="689"/>
      <c r="M22" s="695"/>
      <c r="Q22" s="24"/>
      <c r="R22" s="25"/>
      <c r="S22" s="25"/>
      <c r="T22" s="26"/>
      <c r="U22" s="1"/>
      <c r="V22" s="1"/>
      <c r="W22" s="696"/>
      <c r="X22" s="675" t="s">
        <v>31</v>
      </c>
      <c r="Y22" s="697" t="s">
        <v>32</v>
      </c>
      <c r="Z22" s="149"/>
      <c r="AA22" s="149"/>
      <c r="AB22" s="24"/>
      <c r="AC22" s="25"/>
      <c r="AD22" s="25"/>
      <c r="AE22" s="26"/>
      <c r="AH22" s="696"/>
      <c r="AI22" s="675" t="s">
        <v>31</v>
      </c>
      <c r="AJ22" s="697" t="s">
        <v>32</v>
      </c>
      <c r="AK22" s="149"/>
      <c r="AL22" s="149"/>
      <c r="AM22" s="24"/>
      <c r="AN22" s="25"/>
      <c r="AO22" s="25"/>
      <c r="AP22" s="26"/>
      <c r="AS22" s="696"/>
      <c r="AT22" s="675" t="s">
        <v>31</v>
      </c>
      <c r="AU22" s="697" t="s">
        <v>32</v>
      </c>
      <c r="AV22" s="149"/>
      <c r="AW22" s="149"/>
      <c r="AX22" s="24"/>
      <c r="AY22" s="25"/>
      <c r="AZ22" s="25"/>
      <c r="BA22" s="26"/>
      <c r="BD22" s="696"/>
      <c r="BE22" s="675" t="s">
        <v>31</v>
      </c>
      <c r="BF22" s="697" t="s">
        <v>32</v>
      </c>
      <c r="BI22" s="24"/>
      <c r="BJ22" s="25"/>
      <c r="BK22" s="25"/>
      <c r="BL22" s="26"/>
    </row>
    <row r="23" spans="5:64">
      <c r="E23" s="21"/>
      <c r="F23" s="22"/>
      <c r="G23" s="22"/>
      <c r="H23" s="23"/>
      <c r="K23" s="696"/>
      <c r="L23" s="675" t="s">
        <v>31</v>
      </c>
      <c r="M23" s="697" t="s">
        <v>32</v>
      </c>
      <c r="Q23" s="21"/>
      <c r="R23" s="22"/>
      <c r="S23" s="22"/>
      <c r="T23" s="23"/>
      <c r="U23" s="1"/>
      <c r="V23" s="1"/>
      <c r="W23" s="677" t="s">
        <v>17</v>
      </c>
      <c r="X23" s="680"/>
      <c r="Y23" s="698"/>
      <c r="Z23" s="148"/>
      <c r="AA23" s="148"/>
      <c r="AB23" s="21"/>
      <c r="AC23" s="22"/>
      <c r="AD23" s="22"/>
      <c r="AE23" s="23"/>
      <c r="AH23" s="677" t="s">
        <v>17</v>
      </c>
      <c r="AI23" s="680"/>
      <c r="AJ23" s="698"/>
      <c r="AK23" s="148"/>
      <c r="AL23" s="148"/>
      <c r="AM23" s="21"/>
      <c r="AN23" s="22"/>
      <c r="AO23" s="22"/>
      <c r="AP23" s="23"/>
      <c r="AS23" s="677" t="s">
        <v>17</v>
      </c>
      <c r="AT23" s="680"/>
      <c r="AU23" s="698"/>
      <c r="AV23" s="148"/>
      <c r="AW23" s="148"/>
      <c r="AX23" s="21"/>
      <c r="AY23" s="22"/>
      <c r="AZ23" s="22"/>
      <c r="BA23" s="23"/>
      <c r="BD23" s="677" t="s">
        <v>17</v>
      </c>
      <c r="BE23" s="680"/>
      <c r="BF23" s="698"/>
      <c r="BI23" s="21"/>
      <c r="BJ23" s="22"/>
      <c r="BK23" s="22"/>
      <c r="BL23" s="23"/>
    </row>
    <row r="24" spans="5:64">
      <c r="E24" s="21"/>
      <c r="F24" s="22"/>
      <c r="G24" s="22"/>
      <c r="H24" s="23"/>
      <c r="K24" s="677" t="s">
        <v>17</v>
      </c>
      <c r="L24" s="680"/>
      <c r="M24" s="698"/>
      <c r="Q24" s="21"/>
      <c r="R24" s="22"/>
      <c r="S24" s="22"/>
      <c r="T24" s="23"/>
      <c r="U24" s="1"/>
      <c r="V24" s="1"/>
      <c r="W24" s="677" t="s">
        <v>18</v>
      </c>
      <c r="X24" s="681"/>
      <c r="Y24" s="699"/>
      <c r="Z24" s="148"/>
      <c r="AA24" s="148"/>
      <c r="AB24" s="21"/>
      <c r="AC24" s="22"/>
      <c r="AD24" s="22"/>
      <c r="AE24" s="23"/>
      <c r="AH24" s="677" t="s">
        <v>18</v>
      </c>
      <c r="AI24" s="681"/>
      <c r="AJ24" s="699"/>
      <c r="AK24" s="148"/>
      <c r="AL24" s="148"/>
      <c r="AM24" s="21"/>
      <c r="AN24" s="22"/>
      <c r="AO24" s="22"/>
      <c r="AP24" s="23"/>
      <c r="AS24" s="677" t="s">
        <v>18</v>
      </c>
      <c r="AT24" s="681"/>
      <c r="AU24" s="699"/>
      <c r="AV24" s="148"/>
      <c r="AW24" s="148"/>
      <c r="AX24" s="21"/>
      <c r="AY24" s="22"/>
      <c r="AZ24" s="22"/>
      <c r="BA24" s="23"/>
      <c r="BD24" s="677" t="s">
        <v>18</v>
      </c>
      <c r="BE24" s="681"/>
      <c r="BF24" s="699"/>
      <c r="BI24" s="21"/>
      <c r="BJ24" s="22"/>
      <c r="BK24" s="22"/>
      <c r="BL24" s="23"/>
    </row>
    <row r="25" spans="5:64">
      <c r="E25" s="21"/>
      <c r="F25" s="22"/>
      <c r="G25" s="22"/>
      <c r="H25" s="23"/>
      <c r="K25" s="677" t="s">
        <v>18</v>
      </c>
      <c r="L25" s="681"/>
      <c r="M25" s="699"/>
      <c r="Q25" s="21"/>
      <c r="R25" s="22"/>
      <c r="S25" s="22"/>
      <c r="T25" s="23"/>
      <c r="U25" s="1"/>
      <c r="V25" s="1"/>
      <c r="W25" s="677" t="s">
        <v>4</v>
      </c>
      <c r="X25" s="682"/>
      <c r="Y25" s="700"/>
      <c r="Z25" s="148"/>
      <c r="AA25" s="148"/>
      <c r="AB25" s="21"/>
      <c r="AC25" s="22"/>
      <c r="AD25" s="22"/>
      <c r="AE25" s="23"/>
      <c r="AH25" s="677" t="s">
        <v>4</v>
      </c>
      <c r="AI25" s="682"/>
      <c r="AJ25" s="700"/>
      <c r="AK25" s="148"/>
      <c r="AL25" s="148"/>
      <c r="AM25" s="21"/>
      <c r="AN25" s="22"/>
      <c r="AO25" s="22"/>
      <c r="AP25" s="23"/>
      <c r="AS25" s="677" t="s">
        <v>4</v>
      </c>
      <c r="AT25" s="682"/>
      <c r="AU25" s="700"/>
      <c r="AV25" s="148"/>
      <c r="AW25" s="148"/>
      <c r="AX25" s="21"/>
      <c r="AY25" s="22"/>
      <c r="AZ25" s="22"/>
      <c r="BA25" s="23"/>
      <c r="BD25" s="677" t="s">
        <v>4</v>
      </c>
      <c r="BE25" s="682"/>
      <c r="BF25" s="700"/>
      <c r="BI25" s="21"/>
      <c r="BJ25" s="22"/>
      <c r="BK25" s="22"/>
      <c r="BL25" s="23"/>
    </row>
    <row r="26" spans="5:64">
      <c r="E26" s="21"/>
      <c r="F26" s="22"/>
      <c r="G26" s="22"/>
      <c r="H26" s="23"/>
      <c r="K26" s="677" t="s">
        <v>4</v>
      </c>
      <c r="L26" s="682"/>
      <c r="M26" s="700"/>
      <c r="Q26" s="21"/>
      <c r="R26" s="22"/>
      <c r="S26" s="22"/>
      <c r="T26" s="23"/>
      <c r="U26" s="1"/>
      <c r="V26" s="1"/>
      <c r="W26" s="677" t="s">
        <v>5</v>
      </c>
      <c r="X26" s="683"/>
      <c r="Y26" s="701"/>
      <c r="Z26" s="148"/>
      <c r="AA26" s="148"/>
      <c r="AB26" s="21"/>
      <c r="AC26" s="22"/>
      <c r="AD26" s="22"/>
      <c r="AE26" s="23"/>
      <c r="AH26" s="677" t="s">
        <v>5</v>
      </c>
      <c r="AI26" s="683"/>
      <c r="AJ26" s="701"/>
      <c r="AK26" s="148"/>
      <c r="AL26" s="148"/>
      <c r="AM26" s="21"/>
      <c r="AN26" s="22"/>
      <c r="AO26" s="22"/>
      <c r="AP26" s="23"/>
      <c r="AS26" s="677" t="s">
        <v>5</v>
      </c>
      <c r="AT26" s="683"/>
      <c r="AU26" s="701"/>
      <c r="AV26" s="148"/>
      <c r="AW26" s="148"/>
      <c r="AX26" s="21"/>
      <c r="AY26" s="22"/>
      <c r="AZ26" s="22"/>
      <c r="BA26" s="23"/>
      <c r="BD26" s="677" t="s">
        <v>5</v>
      </c>
      <c r="BE26" s="683"/>
      <c r="BF26" s="701"/>
      <c r="BI26" s="21"/>
      <c r="BJ26" s="22"/>
      <c r="BK26" s="22"/>
      <c r="BL26" s="23"/>
    </row>
    <row r="27" spans="5:64">
      <c r="E27" s="21"/>
      <c r="F27" s="22"/>
      <c r="G27" s="22"/>
      <c r="H27" s="23"/>
      <c r="K27" s="677" t="s">
        <v>5</v>
      </c>
      <c r="L27" s="683"/>
      <c r="M27" s="701"/>
      <c r="Q27" s="21"/>
      <c r="R27" s="22"/>
      <c r="S27" s="22"/>
      <c r="T27" s="23"/>
      <c r="U27" s="1"/>
      <c r="V27" s="1"/>
      <c r="W27" s="678" t="s">
        <v>7</v>
      </c>
      <c r="X27" s="30"/>
      <c r="Y27" s="146"/>
      <c r="Z27" s="148"/>
      <c r="AA27" s="148"/>
      <c r="AB27" s="21"/>
      <c r="AC27" s="22"/>
      <c r="AD27" s="22"/>
      <c r="AE27" s="23"/>
      <c r="AH27" s="678" t="s">
        <v>7</v>
      </c>
      <c r="AI27" s="30"/>
      <c r="AJ27" s="146"/>
      <c r="AK27" s="148"/>
      <c r="AL27" s="148"/>
      <c r="AM27" s="21"/>
      <c r="AN27" s="22"/>
      <c r="AO27" s="22"/>
      <c r="AP27" s="23"/>
      <c r="AS27" s="678" t="s">
        <v>7</v>
      </c>
      <c r="AT27" s="30"/>
      <c r="AU27" s="146"/>
      <c r="AV27" s="148"/>
      <c r="AW27" s="148"/>
      <c r="AX27" s="21"/>
      <c r="AY27" s="22"/>
      <c r="AZ27" s="22"/>
      <c r="BA27" s="23"/>
      <c r="BD27" s="678" t="s">
        <v>7</v>
      </c>
      <c r="BE27" s="30"/>
      <c r="BF27" s="146"/>
      <c r="BI27" s="21"/>
      <c r="BJ27" s="22"/>
      <c r="BK27" s="22"/>
      <c r="BL27" s="23"/>
    </row>
    <row r="28" spans="5:64" ht="16.8" thickBot="1">
      <c r="E28" s="21"/>
      <c r="F28" s="22"/>
      <c r="G28" s="22"/>
      <c r="H28" s="23"/>
      <c r="K28" s="678" t="s">
        <v>7</v>
      </c>
      <c r="L28" s="30"/>
      <c r="M28" s="146"/>
      <c r="Q28" s="21"/>
      <c r="R28" s="22"/>
      <c r="S28" s="22"/>
      <c r="T28" s="23"/>
      <c r="U28" s="1"/>
      <c r="V28" s="1"/>
      <c r="W28" s="679" t="s">
        <v>8</v>
      </c>
      <c r="X28" s="49"/>
      <c r="Y28" s="702"/>
      <c r="Z28" s="148"/>
      <c r="AA28" s="148"/>
      <c r="AB28" s="21"/>
      <c r="AC28" s="22"/>
      <c r="AD28" s="22"/>
      <c r="AE28" s="23"/>
      <c r="AH28" s="679" t="s">
        <v>8</v>
      </c>
      <c r="AI28" s="49"/>
      <c r="AJ28" s="702"/>
      <c r="AK28" s="148"/>
      <c r="AL28" s="148"/>
      <c r="AM28" s="21"/>
      <c r="AN28" s="22"/>
      <c r="AO28" s="22"/>
      <c r="AP28" s="23"/>
      <c r="AS28" s="679" t="s">
        <v>8</v>
      </c>
      <c r="AT28" s="49"/>
      <c r="AU28" s="702"/>
      <c r="AV28" s="148"/>
      <c r="AW28" s="148"/>
      <c r="AX28" s="21"/>
      <c r="AY28" s="22"/>
      <c r="AZ28" s="22"/>
      <c r="BA28" s="23"/>
      <c r="BD28" s="679" t="s">
        <v>8</v>
      </c>
      <c r="BE28" s="49"/>
      <c r="BF28" s="702"/>
      <c r="BI28" s="21"/>
      <c r="BJ28" s="22"/>
      <c r="BK28" s="22"/>
      <c r="BL28" s="23"/>
    </row>
    <row r="29" spans="5:64" ht="16.8" thickBot="1">
      <c r="E29" s="21"/>
      <c r="F29" s="22"/>
      <c r="G29" s="22"/>
      <c r="H29" s="23"/>
      <c r="K29" s="679" t="s">
        <v>8</v>
      </c>
      <c r="L29" s="49"/>
      <c r="M29" s="702"/>
      <c r="Q29" s="21"/>
      <c r="R29" s="22"/>
      <c r="S29" s="22"/>
      <c r="T29" s="23"/>
      <c r="U29" s="1"/>
      <c r="V29" s="1"/>
      <c r="W29" s="703"/>
      <c r="X29" s="675" t="s">
        <v>34</v>
      </c>
      <c r="Y29" s="676" t="s">
        <v>35</v>
      </c>
      <c r="Z29" s="148"/>
      <c r="AA29" s="148"/>
      <c r="AB29" s="21"/>
      <c r="AC29" s="22"/>
      <c r="AD29" s="22"/>
      <c r="AE29" s="23"/>
      <c r="AH29" s="703"/>
      <c r="AI29" s="675" t="s">
        <v>34</v>
      </c>
      <c r="AJ29" s="676" t="s">
        <v>35</v>
      </c>
      <c r="AK29" s="148"/>
      <c r="AL29" s="148"/>
      <c r="AM29" s="21"/>
      <c r="AN29" s="22"/>
      <c r="AO29" s="22"/>
      <c r="AP29" s="23"/>
      <c r="AS29" s="703"/>
      <c r="AT29" s="675" t="s">
        <v>34</v>
      </c>
      <c r="AU29" s="676" t="s">
        <v>35</v>
      </c>
      <c r="AV29" s="148"/>
      <c r="AW29" s="148"/>
      <c r="AX29" s="21"/>
      <c r="AY29" s="22"/>
      <c r="AZ29" s="22"/>
      <c r="BA29" s="23"/>
      <c r="BD29" s="703"/>
      <c r="BE29" s="675" t="s">
        <v>34</v>
      </c>
      <c r="BF29" s="676" t="s">
        <v>35</v>
      </c>
      <c r="BI29" s="21"/>
      <c r="BJ29" s="22"/>
      <c r="BK29" s="22"/>
      <c r="BL29" s="23"/>
    </row>
    <row r="30" spans="5:64">
      <c r="E30" s="21"/>
      <c r="F30" s="22"/>
      <c r="G30" s="22"/>
      <c r="H30" s="23"/>
      <c r="K30" s="703"/>
      <c r="L30" s="675" t="s">
        <v>34</v>
      </c>
      <c r="M30" s="676" t="s">
        <v>35</v>
      </c>
      <c r="Q30" s="21"/>
      <c r="R30" s="22"/>
      <c r="S30" s="22"/>
      <c r="T30" s="23"/>
      <c r="U30" s="1"/>
      <c r="V30" s="1"/>
      <c r="W30" s="677" t="s">
        <v>17</v>
      </c>
      <c r="X30" s="42"/>
      <c r="Y30" s="36"/>
      <c r="Z30" s="148"/>
      <c r="AA30" s="148"/>
      <c r="AB30" s="21"/>
      <c r="AC30" s="22"/>
      <c r="AD30" s="22"/>
      <c r="AE30" s="23"/>
      <c r="AH30" s="677" t="s">
        <v>17</v>
      </c>
      <c r="AI30" s="42"/>
      <c r="AJ30" s="36"/>
      <c r="AK30" s="148"/>
      <c r="AL30" s="148"/>
      <c r="AM30" s="21"/>
      <c r="AN30" s="22"/>
      <c r="AO30" s="22"/>
      <c r="AP30" s="23"/>
      <c r="AS30" s="677" t="s">
        <v>17</v>
      </c>
      <c r="AT30" s="42"/>
      <c r="AU30" s="36"/>
      <c r="AV30" s="148"/>
      <c r="AW30" s="148"/>
      <c r="AX30" s="21"/>
      <c r="AY30" s="22"/>
      <c r="AZ30" s="22"/>
      <c r="BA30" s="23"/>
      <c r="BD30" s="677" t="s">
        <v>17</v>
      </c>
      <c r="BE30" s="42"/>
      <c r="BF30" s="36"/>
      <c r="BI30" s="21"/>
      <c r="BJ30" s="22"/>
      <c r="BK30" s="22"/>
      <c r="BL30" s="23"/>
    </row>
    <row r="31" spans="5:64">
      <c r="E31" s="21"/>
      <c r="F31" s="22"/>
      <c r="G31" s="22"/>
      <c r="H31" s="23"/>
      <c r="K31" s="677" t="s">
        <v>17</v>
      </c>
      <c r="L31" s="42"/>
      <c r="M31" s="36"/>
      <c r="Q31" s="21"/>
      <c r="R31" s="22"/>
      <c r="S31" s="22"/>
      <c r="T31" s="23"/>
      <c r="U31" s="1"/>
      <c r="V31" s="1"/>
      <c r="W31" s="677" t="s">
        <v>18</v>
      </c>
      <c r="X31" s="43"/>
      <c r="Y31" s="37"/>
      <c r="Z31" s="148"/>
      <c r="AA31" s="148"/>
      <c r="AB31" s="21"/>
      <c r="AC31" s="22"/>
      <c r="AD31" s="22"/>
      <c r="AE31" s="23"/>
      <c r="AH31" s="677" t="s">
        <v>18</v>
      </c>
      <c r="AI31" s="43"/>
      <c r="AJ31" s="37"/>
      <c r="AK31" s="148"/>
      <c r="AL31" s="148"/>
      <c r="AM31" s="21"/>
      <c r="AN31" s="22"/>
      <c r="AO31" s="22"/>
      <c r="AP31" s="23"/>
      <c r="AS31" s="677" t="s">
        <v>18</v>
      </c>
      <c r="AT31" s="43"/>
      <c r="AU31" s="37"/>
      <c r="AV31" s="148"/>
      <c r="AW31" s="148"/>
      <c r="AX31" s="21"/>
      <c r="AY31" s="22"/>
      <c r="AZ31" s="22"/>
      <c r="BA31" s="23"/>
      <c r="BD31" s="677" t="s">
        <v>18</v>
      </c>
      <c r="BE31" s="43"/>
      <c r="BF31" s="37"/>
      <c r="BI31" s="21"/>
      <c r="BJ31" s="22"/>
      <c r="BK31" s="22"/>
      <c r="BL31" s="23"/>
    </row>
    <row r="32" spans="5:64">
      <c r="E32" s="24"/>
      <c r="F32" s="25"/>
      <c r="G32" s="25"/>
      <c r="H32" s="26"/>
      <c r="K32" s="677" t="s">
        <v>18</v>
      </c>
      <c r="L32" s="43"/>
      <c r="M32" s="37"/>
      <c r="Q32" s="24"/>
      <c r="R32" s="25"/>
      <c r="S32" s="25"/>
      <c r="T32" s="26"/>
      <c r="U32" s="1"/>
      <c r="V32" s="1"/>
      <c r="W32" s="677" t="s">
        <v>4</v>
      </c>
      <c r="X32" s="44"/>
      <c r="Y32" s="38"/>
      <c r="Z32" s="149"/>
      <c r="AA32" s="149"/>
      <c r="AB32" s="24"/>
      <c r="AC32" s="25"/>
      <c r="AD32" s="25"/>
      <c r="AE32" s="26"/>
      <c r="AH32" s="677" t="s">
        <v>4</v>
      </c>
      <c r="AI32" s="44"/>
      <c r="AJ32" s="38"/>
      <c r="AK32" s="149"/>
      <c r="AL32" s="149"/>
      <c r="AM32" s="24"/>
      <c r="AN32" s="25"/>
      <c r="AO32" s="25"/>
      <c r="AP32" s="26"/>
      <c r="AS32" s="677" t="s">
        <v>4</v>
      </c>
      <c r="AT32" s="44"/>
      <c r="AU32" s="38"/>
      <c r="AV32" s="149"/>
      <c r="AW32" s="149"/>
      <c r="AX32" s="24"/>
      <c r="AY32" s="25"/>
      <c r="AZ32" s="25"/>
      <c r="BA32" s="26"/>
      <c r="BD32" s="677" t="s">
        <v>4</v>
      </c>
      <c r="BE32" s="44"/>
      <c r="BF32" s="38"/>
      <c r="BI32" s="24"/>
      <c r="BJ32" s="25"/>
      <c r="BK32" s="25"/>
      <c r="BL32" s="26"/>
    </row>
    <row r="33" spans="1:67">
      <c r="E33" s="24"/>
      <c r="F33" s="25"/>
      <c r="G33" s="25"/>
      <c r="H33" s="26"/>
      <c r="K33" s="677" t="s">
        <v>4</v>
      </c>
      <c r="L33" s="44"/>
      <c r="M33" s="38"/>
      <c r="Q33" s="24"/>
      <c r="R33" s="25"/>
      <c r="S33" s="25"/>
      <c r="T33" s="26"/>
      <c r="U33" s="1"/>
      <c r="V33" s="1"/>
      <c r="W33" s="677" t="s">
        <v>5</v>
      </c>
      <c r="X33" s="45"/>
      <c r="Y33" s="39"/>
      <c r="Z33" s="149"/>
      <c r="AA33" s="149"/>
      <c r="AB33" s="24"/>
      <c r="AC33" s="25"/>
      <c r="AD33" s="25"/>
      <c r="AE33" s="26"/>
      <c r="AH33" s="677" t="s">
        <v>5</v>
      </c>
      <c r="AI33" s="45"/>
      <c r="AJ33" s="39"/>
      <c r="AK33" s="149"/>
      <c r="AL33" s="149"/>
      <c r="AM33" s="24"/>
      <c r="AN33" s="25"/>
      <c r="AO33" s="25"/>
      <c r="AP33" s="26"/>
      <c r="AS33" s="677" t="s">
        <v>5</v>
      </c>
      <c r="AT33" s="45"/>
      <c r="AU33" s="39"/>
      <c r="AV33" s="149"/>
      <c r="AW33" s="149"/>
      <c r="AX33" s="24"/>
      <c r="AY33" s="25"/>
      <c r="AZ33" s="25"/>
      <c r="BA33" s="26"/>
      <c r="BD33" s="677" t="s">
        <v>5</v>
      </c>
      <c r="BE33" s="45"/>
      <c r="BF33" s="39"/>
      <c r="BI33" s="24"/>
      <c r="BJ33" s="25"/>
      <c r="BK33" s="25"/>
      <c r="BL33" s="26"/>
    </row>
    <row r="34" spans="1:67">
      <c r="E34" s="24"/>
      <c r="F34" s="25"/>
      <c r="G34" s="25"/>
      <c r="H34" s="26"/>
      <c r="K34" s="677" t="s">
        <v>5</v>
      </c>
      <c r="L34" s="45"/>
      <c r="M34" s="39"/>
      <c r="Q34" s="24"/>
      <c r="R34" s="25"/>
      <c r="S34" s="25"/>
      <c r="T34" s="26"/>
      <c r="U34" s="1"/>
      <c r="V34" s="1"/>
      <c r="W34" s="678" t="s">
        <v>7</v>
      </c>
      <c r="X34" s="46"/>
      <c r="Y34" s="40"/>
      <c r="Z34" s="149"/>
      <c r="AA34" s="149"/>
      <c r="AB34" s="24"/>
      <c r="AC34" s="25"/>
      <c r="AD34" s="25"/>
      <c r="AE34" s="26"/>
      <c r="AH34" s="678" t="s">
        <v>7</v>
      </c>
      <c r="AI34" s="46"/>
      <c r="AJ34" s="40"/>
      <c r="AK34" s="149"/>
      <c r="AL34" s="149"/>
      <c r="AM34" s="24"/>
      <c r="AN34" s="25"/>
      <c r="AO34" s="25"/>
      <c r="AP34" s="26"/>
      <c r="AS34" s="678" t="s">
        <v>7</v>
      </c>
      <c r="AT34" s="46"/>
      <c r="AU34" s="40"/>
      <c r="AV34" s="149"/>
      <c r="AW34" s="149"/>
      <c r="AX34" s="24"/>
      <c r="AY34" s="25"/>
      <c r="AZ34" s="25"/>
      <c r="BA34" s="26"/>
      <c r="BD34" s="678" t="s">
        <v>7</v>
      </c>
      <c r="BE34" s="46"/>
      <c r="BF34" s="40"/>
      <c r="BI34" s="24"/>
      <c r="BJ34" s="25"/>
      <c r="BK34" s="25"/>
      <c r="BL34" s="26"/>
    </row>
    <row r="35" spans="1:67" ht="16.8" thickBot="1">
      <c r="E35" s="21"/>
      <c r="F35" s="22"/>
      <c r="G35" s="22"/>
      <c r="H35" s="23"/>
      <c r="K35" s="678" t="s">
        <v>7</v>
      </c>
      <c r="L35" s="46"/>
      <c r="M35" s="40"/>
      <c r="Q35" s="21"/>
      <c r="R35" s="22"/>
      <c r="S35" s="22"/>
      <c r="T35" s="23"/>
      <c r="U35" s="1"/>
      <c r="V35" s="1"/>
      <c r="W35" s="679" t="s">
        <v>8</v>
      </c>
      <c r="X35" s="47"/>
      <c r="Y35" s="41"/>
      <c r="Z35" s="148"/>
      <c r="AA35" s="148"/>
      <c r="AB35" s="21"/>
      <c r="AC35" s="22"/>
      <c r="AD35" s="22"/>
      <c r="AE35" s="23"/>
      <c r="AH35" s="679" t="s">
        <v>8</v>
      </c>
      <c r="AI35" s="47"/>
      <c r="AJ35" s="41"/>
      <c r="AK35" s="148"/>
      <c r="AL35" s="148"/>
      <c r="AM35" s="21"/>
      <c r="AN35" s="22"/>
      <c r="AO35" s="22"/>
      <c r="AP35" s="23"/>
      <c r="AS35" s="679" t="s">
        <v>8</v>
      </c>
      <c r="AT35" s="47"/>
      <c r="AU35" s="41"/>
      <c r="AV35" s="148"/>
      <c r="AW35" s="148"/>
      <c r="AX35" s="21"/>
      <c r="AY35" s="22"/>
      <c r="AZ35" s="22"/>
      <c r="BA35" s="23"/>
      <c r="BD35" s="679" t="s">
        <v>8</v>
      </c>
      <c r="BE35" s="47"/>
      <c r="BF35" s="41"/>
      <c r="BI35" s="21"/>
      <c r="BJ35" s="22"/>
      <c r="BK35" s="22"/>
      <c r="BL35" s="23"/>
    </row>
    <row r="36" spans="1:67" ht="16.8" thickBot="1">
      <c r="E36" s="21"/>
      <c r="F36" s="22"/>
      <c r="G36" s="22"/>
      <c r="H36" s="23"/>
      <c r="K36" s="679" t="s">
        <v>8</v>
      </c>
      <c r="L36" s="47"/>
      <c r="M36" s="41"/>
      <c r="Q36" s="21"/>
      <c r="R36" s="22"/>
      <c r="S36" s="22"/>
      <c r="T36" s="23"/>
      <c r="U36" s="1"/>
      <c r="V36" s="1"/>
      <c r="W36" s="880" t="s">
        <v>13</v>
      </c>
      <c r="X36" s="881"/>
      <c r="Y36" s="882"/>
      <c r="Z36" s="148"/>
      <c r="AA36" s="148"/>
      <c r="AB36" s="21"/>
      <c r="AC36" s="22"/>
      <c r="AD36" s="22"/>
      <c r="AE36" s="23"/>
      <c r="AH36" s="880" t="s">
        <v>13</v>
      </c>
      <c r="AI36" s="881"/>
      <c r="AJ36" s="882"/>
      <c r="AK36" s="148"/>
      <c r="AL36" s="148"/>
      <c r="AM36" s="21"/>
      <c r="AN36" s="22"/>
      <c r="AO36" s="22"/>
      <c r="AP36" s="23"/>
      <c r="AS36" s="880" t="s">
        <v>13</v>
      </c>
      <c r="AT36" s="881"/>
      <c r="AU36" s="882"/>
      <c r="AV36" s="148"/>
      <c r="AW36" s="148"/>
      <c r="AX36" s="21"/>
      <c r="AY36" s="22"/>
      <c r="AZ36" s="22"/>
      <c r="BA36" s="23"/>
      <c r="BD36" s="880" t="s">
        <v>13</v>
      </c>
      <c r="BE36" s="881"/>
      <c r="BF36" s="882"/>
      <c r="BI36" s="21"/>
      <c r="BJ36" s="22"/>
      <c r="BK36" s="22"/>
      <c r="BL36" s="23"/>
    </row>
    <row r="37" spans="1:67" ht="16.2" thickBot="1">
      <c r="E37" s="21"/>
      <c r="F37" s="22"/>
      <c r="G37" s="22"/>
      <c r="H37" s="23"/>
      <c r="K37" s="880" t="s">
        <v>13</v>
      </c>
      <c r="L37" s="881"/>
      <c r="M37" s="882"/>
      <c r="Q37" s="21"/>
      <c r="R37" s="22"/>
      <c r="S37" s="22"/>
      <c r="T37" s="23"/>
      <c r="U37" s="1"/>
      <c r="V37" s="1"/>
      <c r="Z37" s="148"/>
      <c r="AA37" s="148"/>
      <c r="AB37" s="21"/>
      <c r="AC37" s="22"/>
      <c r="AD37" s="22"/>
      <c r="AE37" s="23"/>
      <c r="AK37" s="148"/>
      <c r="AL37" s="148"/>
      <c r="AM37" s="21"/>
      <c r="AN37" s="22"/>
      <c r="AO37" s="22"/>
      <c r="AP37" s="23"/>
      <c r="AV37" s="148"/>
      <c r="AW37" s="148"/>
      <c r="AX37" s="21"/>
      <c r="AY37" s="22"/>
      <c r="AZ37" s="22"/>
      <c r="BA37" s="23"/>
      <c r="BI37" s="21"/>
      <c r="BJ37" s="22"/>
      <c r="BK37" s="22"/>
      <c r="BL37" s="23"/>
    </row>
    <row r="38" spans="1:67">
      <c r="E38" s="21"/>
      <c r="F38" s="22"/>
      <c r="G38" s="22"/>
      <c r="H38" s="23"/>
      <c r="K38" s="1"/>
      <c r="L38" s="1"/>
      <c r="M38" s="1"/>
      <c r="N38" s="1"/>
      <c r="Q38" s="21"/>
      <c r="R38" s="22"/>
      <c r="S38" s="22"/>
      <c r="T38" s="23"/>
      <c r="U38" s="1"/>
      <c r="V38" s="1"/>
      <c r="Z38" s="148"/>
      <c r="AA38" s="148"/>
      <c r="AB38" s="21"/>
      <c r="AC38" s="22"/>
      <c r="AD38" s="22"/>
      <c r="AE38" s="23"/>
      <c r="AK38" s="148"/>
      <c r="AL38" s="148"/>
      <c r="AM38" s="21"/>
      <c r="AN38" s="22"/>
      <c r="AO38" s="22"/>
      <c r="AP38" s="23"/>
      <c r="AV38" s="148"/>
      <c r="AW38" s="148"/>
      <c r="AX38" s="21"/>
      <c r="AY38" s="22"/>
      <c r="AZ38" s="22"/>
      <c r="BA38" s="23"/>
      <c r="BI38" s="21"/>
      <c r="BJ38" s="22"/>
      <c r="BK38" s="22"/>
      <c r="BL38" s="23"/>
    </row>
    <row r="39" spans="1:67">
      <c r="E39" s="21"/>
      <c r="F39" s="22"/>
      <c r="G39" s="22"/>
      <c r="H39" s="23"/>
      <c r="K39" s="1"/>
      <c r="L39" s="1"/>
      <c r="M39" s="1"/>
      <c r="N39" s="1"/>
      <c r="Q39" s="21"/>
      <c r="R39" s="22"/>
      <c r="S39" s="22"/>
      <c r="T39" s="23"/>
      <c r="U39" s="1"/>
      <c r="V39" s="1"/>
      <c r="Z39" s="148"/>
      <c r="AA39" s="148"/>
      <c r="AB39" s="21"/>
      <c r="AC39" s="22"/>
      <c r="AD39" s="22"/>
      <c r="AE39" s="23"/>
      <c r="AK39" s="148"/>
      <c r="AL39" s="148"/>
      <c r="AM39" s="21"/>
      <c r="AN39" s="22"/>
      <c r="AO39" s="22"/>
      <c r="AP39" s="23"/>
      <c r="AV39" s="148"/>
      <c r="AW39" s="148"/>
      <c r="AX39" s="21"/>
      <c r="AY39" s="22"/>
      <c r="AZ39" s="22"/>
      <c r="BA39" s="23"/>
      <c r="BI39" s="21"/>
      <c r="BJ39" s="22"/>
      <c r="BK39" s="22"/>
      <c r="BL39" s="23"/>
    </row>
    <row r="40" spans="1:67" ht="16.2" thickBot="1">
      <c r="A40" s="1"/>
      <c r="B40" s="1"/>
      <c r="E40" s="27"/>
      <c r="F40" s="28"/>
      <c r="G40" s="28"/>
      <c r="H40" s="29"/>
      <c r="K40" s="1"/>
      <c r="L40" s="1"/>
      <c r="M40" s="1"/>
      <c r="N40" s="1"/>
      <c r="Q40" s="27"/>
      <c r="R40" s="28"/>
      <c r="S40" s="28"/>
      <c r="T40" s="29"/>
      <c r="U40" s="1"/>
      <c r="V40" s="1"/>
      <c r="Z40" s="148"/>
      <c r="AA40" s="148"/>
      <c r="AB40" s="27"/>
      <c r="AC40" s="28"/>
      <c r="AD40" s="28"/>
      <c r="AE40" s="29"/>
      <c r="AK40" s="148"/>
      <c r="AL40" s="148"/>
      <c r="AM40" s="27"/>
      <c r="AN40" s="28"/>
      <c r="AO40" s="28"/>
      <c r="AP40" s="29"/>
      <c r="AV40" s="148"/>
      <c r="AW40" s="148"/>
      <c r="AX40" s="27"/>
      <c r="AY40" s="28"/>
      <c r="AZ40" s="28"/>
      <c r="BA40" s="29"/>
      <c r="BI40" s="27"/>
      <c r="BJ40" s="28"/>
      <c r="BK40" s="28"/>
      <c r="BL40" s="29"/>
    </row>
    <row r="41" spans="1:67">
      <c r="A41" s="1"/>
      <c r="B41" s="1"/>
      <c r="C41" s="1"/>
      <c r="D41" s="1"/>
      <c r="E41" s="1"/>
      <c r="F41" s="1"/>
      <c r="G41" s="1"/>
      <c r="H41" s="1"/>
      <c r="I41" s="1"/>
      <c r="J41" s="1"/>
      <c r="K41" s="1"/>
      <c r="L41" s="1"/>
      <c r="M41" s="1"/>
      <c r="N41" s="1"/>
      <c r="O41" s="1"/>
      <c r="P41" s="1"/>
      <c r="U41" s="1"/>
      <c r="V41" s="1"/>
    </row>
    <row r="42" spans="1:67" ht="16.2" thickBot="1">
      <c r="A42" s="1"/>
      <c r="B42" s="1"/>
      <c r="C42" s="1"/>
      <c r="D42" s="1"/>
      <c r="E42" s="1"/>
      <c r="F42" s="1"/>
      <c r="G42" s="1"/>
      <c r="H42" s="1"/>
      <c r="I42" s="1"/>
      <c r="J42" s="1"/>
      <c r="K42" s="1"/>
      <c r="L42" s="1"/>
      <c r="M42" s="1"/>
      <c r="N42" s="1"/>
      <c r="O42" s="1"/>
      <c r="P42" s="1"/>
      <c r="Q42" s="1"/>
      <c r="R42" s="1"/>
      <c r="S42" s="1"/>
      <c r="T42" s="1"/>
      <c r="U42" s="1"/>
      <c r="V42" s="1"/>
    </row>
    <row r="43" spans="1:67" ht="16.2" thickBot="1">
      <c r="A43" s="1"/>
      <c r="B43" s="1"/>
      <c r="C43" s="718" t="str">
        <f>E3</f>
        <v>WT 24h</v>
      </c>
      <c r="D43" s="719"/>
      <c r="E43" s="719"/>
      <c r="F43" s="719"/>
      <c r="G43" s="719"/>
      <c r="H43" s="719"/>
      <c r="I43" s="719"/>
      <c r="J43" s="719"/>
      <c r="K43" s="720"/>
      <c r="L43" s="1"/>
      <c r="M43" s="1"/>
      <c r="N43" s="1"/>
      <c r="O43" s="718" t="str">
        <f>Q3</f>
        <v>Set 1 24h</v>
      </c>
      <c r="P43" s="719"/>
      <c r="Q43" s="719"/>
      <c r="R43" s="719"/>
      <c r="S43" s="719"/>
      <c r="T43" s="719"/>
      <c r="U43" s="719"/>
      <c r="V43" s="720"/>
      <c r="Z43" s="718" t="str">
        <f>AB3</f>
        <v>Set 2 24h</v>
      </c>
      <c r="AA43" s="719"/>
      <c r="AB43" s="719"/>
      <c r="AC43" s="719"/>
      <c r="AD43" s="719"/>
      <c r="AE43" s="719"/>
      <c r="AF43" s="719"/>
      <c r="AG43" s="720"/>
      <c r="AK43" s="718" t="str">
        <f>AM3</f>
        <v>Set 4 24h</v>
      </c>
      <c r="AL43" s="719"/>
      <c r="AM43" s="719"/>
      <c r="AN43" s="719"/>
      <c r="AO43" s="719"/>
      <c r="AP43" s="719"/>
      <c r="AQ43" s="719"/>
      <c r="AR43" s="720"/>
      <c r="AV43" s="718" t="str">
        <f>AX3</f>
        <v>Set 5 24h</v>
      </c>
      <c r="AW43" s="719"/>
      <c r="AX43" s="719"/>
      <c r="AY43" s="719"/>
      <c r="AZ43" s="719"/>
      <c r="BA43" s="719"/>
      <c r="BB43" s="719"/>
      <c r="BC43" s="720"/>
      <c r="BG43" s="718" t="str">
        <f>BI3</f>
        <v>GFP 24h</v>
      </c>
      <c r="BH43" s="719"/>
      <c r="BI43" s="719"/>
      <c r="BJ43" s="719"/>
      <c r="BK43" s="719"/>
      <c r="BL43" s="719"/>
      <c r="BM43" s="719"/>
      <c r="BN43" s="720"/>
    </row>
    <row r="44" spans="1:67" ht="16.8" thickBot="1">
      <c r="A44" s="1"/>
      <c r="B44" s="1"/>
      <c r="C44" s="5" t="s">
        <v>0</v>
      </c>
      <c r="D44" s="6" t="s">
        <v>1</v>
      </c>
      <c r="E44" s="6" t="s">
        <v>2</v>
      </c>
      <c r="F44" s="7" t="s">
        <v>3</v>
      </c>
      <c r="G44" s="8" t="s">
        <v>4</v>
      </c>
      <c r="H44" s="9" t="s">
        <v>5</v>
      </c>
      <c r="I44" s="9" t="s">
        <v>6</v>
      </c>
      <c r="J44" s="10" t="s">
        <v>7</v>
      </c>
      <c r="K44" s="11" t="s">
        <v>8</v>
      </c>
      <c r="L44" s="1"/>
      <c r="M44" s="1"/>
      <c r="N44" s="1"/>
      <c r="O44" s="5" t="s">
        <v>0</v>
      </c>
      <c r="P44" s="6" t="s">
        <v>1</v>
      </c>
      <c r="Q44" s="6" t="s">
        <v>2</v>
      </c>
      <c r="R44" s="7" t="s">
        <v>3</v>
      </c>
      <c r="S44" s="8" t="s">
        <v>4</v>
      </c>
      <c r="T44" s="9" t="s">
        <v>5</v>
      </c>
      <c r="U44" s="10" t="s">
        <v>7</v>
      </c>
      <c r="V44" s="11" t="s">
        <v>8</v>
      </c>
      <c r="Z44" s="5" t="s">
        <v>0</v>
      </c>
      <c r="AA44" s="6" t="s">
        <v>1</v>
      </c>
      <c r="AB44" s="6" t="s">
        <v>2</v>
      </c>
      <c r="AC44" s="7" t="s">
        <v>3</v>
      </c>
      <c r="AD44" s="8" t="s">
        <v>4</v>
      </c>
      <c r="AE44" s="9" t="s">
        <v>5</v>
      </c>
      <c r="AF44" s="10" t="s">
        <v>7</v>
      </c>
      <c r="AG44" s="11" t="s">
        <v>8</v>
      </c>
      <c r="AK44" s="5" t="s">
        <v>0</v>
      </c>
      <c r="AL44" s="6" t="s">
        <v>1</v>
      </c>
      <c r="AM44" s="6" t="s">
        <v>2</v>
      </c>
      <c r="AN44" s="7" t="s">
        <v>3</v>
      </c>
      <c r="AO44" s="8" t="s">
        <v>4</v>
      </c>
      <c r="AP44" s="9" t="s">
        <v>5</v>
      </c>
      <c r="AQ44" s="10" t="s">
        <v>7</v>
      </c>
      <c r="AR44" s="11" t="s">
        <v>8</v>
      </c>
      <c r="AV44" s="5" t="s">
        <v>0</v>
      </c>
      <c r="AW44" s="6" t="s">
        <v>1</v>
      </c>
      <c r="AX44" s="6" t="s">
        <v>2</v>
      </c>
      <c r="AY44" s="7" t="s">
        <v>3</v>
      </c>
      <c r="AZ44" s="8" t="s">
        <v>4</v>
      </c>
      <c r="BA44" s="9" t="s">
        <v>5</v>
      </c>
      <c r="BB44" s="10" t="s">
        <v>7</v>
      </c>
      <c r="BC44" s="11" t="s">
        <v>8</v>
      </c>
      <c r="BG44" s="5" t="s">
        <v>0</v>
      </c>
      <c r="BH44" s="6" t="s">
        <v>1</v>
      </c>
      <c r="BI44" s="6" t="s">
        <v>2</v>
      </c>
      <c r="BJ44" s="7" t="s">
        <v>3</v>
      </c>
      <c r="BK44" s="8" t="s">
        <v>4</v>
      </c>
      <c r="BL44" s="9" t="s">
        <v>5</v>
      </c>
      <c r="BM44" s="10" t="s">
        <v>7</v>
      </c>
      <c r="BN44" s="11" t="s">
        <v>8</v>
      </c>
    </row>
    <row r="45" spans="1:67">
      <c r="A45" s="818" t="s">
        <v>19</v>
      </c>
      <c r="B45" s="818" t="str">
        <f>E45</f>
        <v>GAPDH</v>
      </c>
      <c r="C45" s="101"/>
      <c r="D45" s="102" t="str">
        <f>$C$43</f>
        <v>WT 24h</v>
      </c>
      <c r="E45" s="102" t="s">
        <v>29</v>
      </c>
      <c r="F45" s="704">
        <v>20.427815640245292</v>
      </c>
      <c r="G45" s="775">
        <f>AVERAGE(F45:F47)</f>
        <v>20.471573018267005</v>
      </c>
      <c r="H45" s="778"/>
      <c r="I45" s="16"/>
      <c r="J45" s="778"/>
      <c r="K45" s="781"/>
      <c r="L45" s="1"/>
      <c r="M45" s="1"/>
      <c r="N45" s="1"/>
      <c r="O45" s="101"/>
      <c r="P45" s="102" t="str">
        <f>$O$43</f>
        <v>Set 1 24h</v>
      </c>
      <c r="Q45" s="102" t="s">
        <v>29</v>
      </c>
      <c r="R45" s="704">
        <v>19.593802056137903</v>
      </c>
      <c r="S45" s="775">
        <f>AVERAGE(R45:R47)</f>
        <v>19.52147331671264</v>
      </c>
      <c r="T45" s="778"/>
      <c r="U45" s="778"/>
      <c r="V45" s="781"/>
      <c r="W45" s="704"/>
      <c r="Z45" s="101"/>
      <c r="AA45" s="102" t="str">
        <f>$Z$43</f>
        <v>Set 2 24h</v>
      </c>
      <c r="AB45" s="102" t="s">
        <v>29</v>
      </c>
      <c r="AC45" s="704">
        <v>17.469950352923377</v>
      </c>
      <c r="AD45" s="775">
        <f>AVERAGE(AC45:AC47)</f>
        <v>17.529599779897463</v>
      </c>
      <c r="AE45" s="778"/>
      <c r="AF45" s="778"/>
      <c r="AG45" s="781"/>
      <c r="AK45" s="101"/>
      <c r="AL45" s="102" t="str">
        <f>$AK$43</f>
        <v>Set 4 24h</v>
      </c>
      <c r="AM45" s="102" t="s">
        <v>29</v>
      </c>
      <c r="AN45" s="704">
        <v>20.722142325684111</v>
      </c>
      <c r="AO45" s="775">
        <f>AVERAGE(AN45:AN47)</f>
        <v>20.368306524789023</v>
      </c>
      <c r="AP45" s="778"/>
      <c r="AQ45" s="778"/>
      <c r="AR45" s="781"/>
      <c r="AV45" s="101"/>
      <c r="AW45" s="102" t="str">
        <f>$AV$43</f>
        <v>Set 5 24h</v>
      </c>
      <c r="AX45" s="102" t="s">
        <v>29</v>
      </c>
      <c r="AY45" s="704">
        <v>20.722142325684111</v>
      </c>
      <c r="AZ45" s="775">
        <f>AVERAGE(AY45:AY47)</f>
        <v>20.368306524789023</v>
      </c>
      <c r="BA45" s="778"/>
      <c r="BB45" s="778"/>
      <c r="BC45" s="781"/>
      <c r="BD45" s="704"/>
      <c r="BG45" s="101"/>
      <c r="BH45" s="102" t="str">
        <f>$BG$43</f>
        <v>GFP 24h</v>
      </c>
      <c r="BI45" s="102" t="s">
        <v>29</v>
      </c>
      <c r="BJ45" s="704"/>
      <c r="BK45" s="775">
        <f>AVERAGE(BJ45:BJ47)</f>
        <v>17.892146019305006</v>
      </c>
      <c r="BL45" s="778"/>
      <c r="BM45" s="778"/>
      <c r="BN45" s="781"/>
      <c r="BO45" s="704"/>
    </row>
    <row r="46" spans="1:67">
      <c r="A46" s="819"/>
      <c r="B46" s="819"/>
      <c r="C46" s="103"/>
      <c r="D46" s="104" t="str">
        <f t="shared" ref="D46:D98" si="0">$C$43</f>
        <v>WT 24h</v>
      </c>
      <c r="E46" s="104" t="s">
        <v>29</v>
      </c>
      <c r="F46" s="704"/>
      <c r="G46" s="776"/>
      <c r="H46" s="779"/>
      <c r="I46" s="13"/>
      <c r="J46" s="779"/>
      <c r="K46" s="782"/>
      <c r="L46" s="1"/>
      <c r="M46" s="1"/>
      <c r="N46" s="1"/>
      <c r="O46" s="103"/>
      <c r="P46" s="104" t="str">
        <f t="shared" ref="P46:P98" si="1">$O$43</f>
        <v>Set 1 24h</v>
      </c>
      <c r="Q46" s="104" t="s">
        <v>29</v>
      </c>
      <c r="R46" s="704">
        <v>19.3821929077085</v>
      </c>
      <c r="S46" s="776"/>
      <c r="T46" s="779"/>
      <c r="U46" s="779"/>
      <c r="V46" s="782"/>
      <c r="W46" s="704"/>
      <c r="Z46" s="103"/>
      <c r="AA46" s="104" t="str">
        <f t="shared" ref="AA46:AA98" si="2">$Z$43</f>
        <v>Set 2 24h</v>
      </c>
      <c r="AB46" s="104" t="s">
        <v>29</v>
      </c>
      <c r="AC46" s="704">
        <v>17.578785982039065</v>
      </c>
      <c r="AD46" s="776"/>
      <c r="AE46" s="779"/>
      <c r="AF46" s="779"/>
      <c r="AG46" s="782"/>
      <c r="AK46" s="103"/>
      <c r="AL46" s="104" t="str">
        <f t="shared" ref="AL46:AL98" si="3">$AK$43</f>
        <v>Set 4 24h</v>
      </c>
      <c r="AM46" s="104" t="s">
        <v>29</v>
      </c>
      <c r="AN46" s="704">
        <v>19.967785286756524</v>
      </c>
      <c r="AO46" s="776"/>
      <c r="AP46" s="779"/>
      <c r="AQ46" s="779"/>
      <c r="AR46" s="782"/>
      <c r="AV46" s="103"/>
      <c r="AW46" s="104" t="str">
        <f t="shared" ref="AW46:AW98" si="4">$AV$43</f>
        <v>Set 5 24h</v>
      </c>
      <c r="AX46" s="104" t="s">
        <v>29</v>
      </c>
      <c r="AY46" s="704">
        <v>19.967785286756524</v>
      </c>
      <c r="AZ46" s="776"/>
      <c r="BA46" s="779"/>
      <c r="BB46" s="779"/>
      <c r="BC46" s="782"/>
      <c r="BD46" s="704"/>
      <c r="BG46" s="103"/>
      <c r="BH46" s="104" t="str">
        <f t="shared" ref="BH46:BH98" si="5">$BG$43</f>
        <v>GFP 24h</v>
      </c>
      <c r="BI46" s="104" t="s">
        <v>29</v>
      </c>
      <c r="BJ46" s="704">
        <v>17.845501785051006</v>
      </c>
      <c r="BK46" s="776"/>
      <c r="BL46" s="779"/>
      <c r="BM46" s="779"/>
      <c r="BN46" s="782"/>
      <c r="BO46" s="704"/>
    </row>
    <row r="47" spans="1:67">
      <c r="A47" s="819"/>
      <c r="B47" s="819"/>
      <c r="C47" s="103"/>
      <c r="D47" s="104" t="str">
        <f t="shared" si="0"/>
        <v>WT 24h</v>
      </c>
      <c r="E47" s="110" t="s">
        <v>29</v>
      </c>
      <c r="F47" s="704">
        <v>20.515330396288718</v>
      </c>
      <c r="G47" s="805"/>
      <c r="H47" s="780"/>
      <c r="I47" s="14"/>
      <c r="J47" s="780"/>
      <c r="K47" s="783"/>
      <c r="L47" s="1"/>
      <c r="M47" s="1"/>
      <c r="N47" s="1"/>
      <c r="O47" s="109"/>
      <c r="P47" s="110" t="str">
        <f t="shared" si="1"/>
        <v>Set 1 24h</v>
      </c>
      <c r="Q47" s="110" t="s">
        <v>29</v>
      </c>
      <c r="R47" s="704">
        <v>19.588424986291521</v>
      </c>
      <c r="S47" s="777"/>
      <c r="T47" s="821"/>
      <c r="U47" s="821"/>
      <c r="V47" s="822"/>
      <c r="W47" s="704"/>
      <c r="Z47" s="109"/>
      <c r="AA47" s="110" t="str">
        <f t="shared" si="2"/>
        <v>Set 2 24h</v>
      </c>
      <c r="AB47" s="110" t="s">
        <v>29</v>
      </c>
      <c r="AC47" s="704">
        <v>17.540063004729952</v>
      </c>
      <c r="AD47" s="777"/>
      <c r="AE47" s="821"/>
      <c r="AF47" s="821"/>
      <c r="AG47" s="822"/>
      <c r="AK47" s="109"/>
      <c r="AL47" s="110" t="str">
        <f t="shared" si="3"/>
        <v>Set 4 24h</v>
      </c>
      <c r="AM47" s="110" t="s">
        <v>29</v>
      </c>
      <c r="AN47" s="704">
        <v>20.41499196192644</v>
      </c>
      <c r="AO47" s="777"/>
      <c r="AP47" s="821"/>
      <c r="AQ47" s="821"/>
      <c r="AR47" s="822"/>
      <c r="AV47" s="109"/>
      <c r="AW47" s="110" t="str">
        <f t="shared" si="4"/>
        <v>Set 5 24h</v>
      </c>
      <c r="AX47" s="110" t="s">
        <v>29</v>
      </c>
      <c r="AY47" s="704">
        <v>20.41499196192644</v>
      </c>
      <c r="AZ47" s="777"/>
      <c r="BA47" s="821"/>
      <c r="BB47" s="821"/>
      <c r="BC47" s="822"/>
      <c r="BD47" s="704"/>
      <c r="BG47" s="109"/>
      <c r="BH47" s="110" t="str">
        <f t="shared" si="5"/>
        <v>GFP 24h</v>
      </c>
      <c r="BI47" s="110" t="s">
        <v>29</v>
      </c>
      <c r="BJ47" s="704">
        <v>17.938790253559006</v>
      </c>
      <c r="BK47" s="777"/>
      <c r="BL47" s="821"/>
      <c r="BM47" s="821"/>
      <c r="BN47" s="822"/>
      <c r="BO47" s="704"/>
    </row>
    <row r="48" spans="1:67">
      <c r="A48" s="819"/>
      <c r="B48" s="819"/>
      <c r="C48" s="117"/>
      <c r="D48" s="118" t="str">
        <f t="shared" si="0"/>
        <v>WT 24h</v>
      </c>
      <c r="E48" s="121" t="s">
        <v>29</v>
      </c>
      <c r="F48" s="704"/>
      <c r="G48" s="784">
        <f>AVERAGE(F48:F50)</f>
        <v>20.663110676032399</v>
      </c>
      <c r="H48" s="789"/>
      <c r="I48" s="12"/>
      <c r="J48" s="789"/>
      <c r="K48" s="787"/>
      <c r="L48" s="1"/>
      <c r="M48" s="1"/>
      <c r="N48" s="1"/>
      <c r="O48" s="120"/>
      <c r="P48" s="121" t="str">
        <f t="shared" si="1"/>
        <v>Set 1 24h</v>
      </c>
      <c r="Q48" s="121" t="s">
        <v>29</v>
      </c>
      <c r="R48" s="704">
        <v>17.611368920355687</v>
      </c>
      <c r="S48" s="788">
        <f>AVERAGE(R48:R50)</f>
        <v>17.648709254952664</v>
      </c>
      <c r="T48" s="823"/>
      <c r="U48" s="823"/>
      <c r="V48" s="824"/>
      <c r="W48" s="704"/>
      <c r="Z48" s="120"/>
      <c r="AA48" s="121" t="str">
        <f t="shared" si="2"/>
        <v>Set 2 24h</v>
      </c>
      <c r="AB48" s="121" t="s">
        <v>29</v>
      </c>
      <c r="AC48" s="704">
        <v>17.707659038966653</v>
      </c>
      <c r="AD48" s="788">
        <f>AVERAGE(AC48:AC50)</f>
        <v>17.858728055031648</v>
      </c>
      <c r="AE48" s="823"/>
      <c r="AF48" s="823"/>
      <c r="AG48" s="824"/>
      <c r="AK48" s="120"/>
      <c r="AL48" s="121" t="str">
        <f t="shared" si="3"/>
        <v>Set 4 24h</v>
      </c>
      <c r="AM48" s="121" t="s">
        <v>29</v>
      </c>
      <c r="AN48" s="704">
        <v>20.630732155985669</v>
      </c>
      <c r="AO48" s="788">
        <f>AVERAGE(AN48:AN50)</f>
        <v>20.320844863221375</v>
      </c>
      <c r="AP48" s="823"/>
      <c r="AQ48" s="823"/>
      <c r="AR48" s="824"/>
      <c r="AV48" s="120"/>
      <c r="AW48" s="121" t="str">
        <f t="shared" si="4"/>
        <v>Set 5 24h</v>
      </c>
      <c r="AX48" s="121" t="s">
        <v>29</v>
      </c>
      <c r="AY48" s="704">
        <v>20.630732155985669</v>
      </c>
      <c r="AZ48" s="788">
        <f>AVERAGE(AY48:AY50)</f>
        <v>20.320844863221375</v>
      </c>
      <c r="BA48" s="823"/>
      <c r="BB48" s="823"/>
      <c r="BC48" s="824"/>
      <c r="BD48" s="704"/>
      <c r="BG48" s="120"/>
      <c r="BH48" s="121" t="str">
        <f t="shared" si="5"/>
        <v>GFP 24h</v>
      </c>
      <c r="BI48" s="121" t="s">
        <v>29</v>
      </c>
      <c r="BJ48" s="704">
        <v>18.315126598229035</v>
      </c>
      <c r="BK48" s="788">
        <f>AVERAGE(BJ48:BJ50)</f>
        <v>18.462492201891369</v>
      </c>
      <c r="BL48" s="823"/>
      <c r="BM48" s="823"/>
      <c r="BN48" s="824"/>
      <c r="BO48" s="704"/>
    </row>
    <row r="49" spans="1:67">
      <c r="A49" s="819"/>
      <c r="B49" s="819"/>
      <c r="C49" s="117"/>
      <c r="D49" s="118" t="str">
        <f t="shared" si="0"/>
        <v>WT 24h</v>
      </c>
      <c r="E49" s="118" t="s">
        <v>29</v>
      </c>
      <c r="F49" s="704">
        <v>20.715289982267521</v>
      </c>
      <c r="G49" s="776"/>
      <c r="H49" s="779"/>
      <c r="I49" s="13"/>
      <c r="J49" s="779"/>
      <c r="K49" s="782"/>
      <c r="L49" s="1"/>
      <c r="M49" s="1"/>
      <c r="N49" s="1"/>
      <c r="O49" s="117"/>
      <c r="P49" s="118" t="str">
        <f t="shared" si="1"/>
        <v>Set 1 24h</v>
      </c>
      <c r="Q49" s="118" t="s">
        <v>29</v>
      </c>
      <c r="R49" s="704">
        <v>17.628815226481429</v>
      </c>
      <c r="S49" s="776"/>
      <c r="T49" s="779"/>
      <c r="U49" s="779"/>
      <c r="V49" s="782"/>
      <c r="W49" s="704"/>
      <c r="Z49" s="117"/>
      <c r="AA49" s="118" t="str">
        <f t="shared" si="2"/>
        <v>Set 2 24h</v>
      </c>
      <c r="AB49" s="118" t="s">
        <v>29</v>
      </c>
      <c r="AC49" s="704">
        <v>17.85789997136078</v>
      </c>
      <c r="AD49" s="776"/>
      <c r="AE49" s="779"/>
      <c r="AF49" s="779"/>
      <c r="AG49" s="782"/>
      <c r="AK49" s="117"/>
      <c r="AL49" s="118" t="str">
        <f t="shared" si="3"/>
        <v>Set 4 24h</v>
      </c>
      <c r="AM49" s="118" t="s">
        <v>29</v>
      </c>
      <c r="AN49" s="704">
        <v>20.256083581425976</v>
      </c>
      <c r="AO49" s="776"/>
      <c r="AP49" s="779"/>
      <c r="AQ49" s="779"/>
      <c r="AR49" s="782"/>
      <c r="AV49" s="117"/>
      <c r="AW49" s="118" t="str">
        <f t="shared" si="4"/>
        <v>Set 5 24h</v>
      </c>
      <c r="AX49" s="118" t="s">
        <v>29</v>
      </c>
      <c r="AY49" s="704">
        <v>20.256083581425976</v>
      </c>
      <c r="AZ49" s="776"/>
      <c r="BA49" s="779"/>
      <c r="BB49" s="779"/>
      <c r="BC49" s="782"/>
      <c r="BD49" s="704"/>
      <c r="BG49" s="117"/>
      <c r="BH49" s="118" t="str">
        <f t="shared" si="5"/>
        <v>GFP 24h</v>
      </c>
      <c r="BI49" s="118" t="s">
        <v>29</v>
      </c>
      <c r="BJ49" s="704">
        <v>18.536357611038731</v>
      </c>
      <c r="BK49" s="776"/>
      <c r="BL49" s="779"/>
      <c r="BM49" s="779"/>
      <c r="BN49" s="782"/>
      <c r="BO49" s="704"/>
    </row>
    <row r="50" spans="1:67">
      <c r="A50" s="819"/>
      <c r="B50" s="819"/>
      <c r="C50" s="117"/>
      <c r="D50" s="118" t="str">
        <f t="shared" si="0"/>
        <v>WT 24h</v>
      </c>
      <c r="E50" s="123" t="s">
        <v>29</v>
      </c>
      <c r="F50" s="704">
        <v>20.610931369797278</v>
      </c>
      <c r="G50" s="805"/>
      <c r="H50" s="780"/>
      <c r="I50" s="14"/>
      <c r="J50" s="780"/>
      <c r="K50" s="783"/>
      <c r="L50" s="1"/>
      <c r="M50" s="1"/>
      <c r="N50" s="1"/>
      <c r="O50" s="122"/>
      <c r="P50" s="123" t="str">
        <f t="shared" si="1"/>
        <v>Set 1 24h</v>
      </c>
      <c r="Q50" s="123" t="s">
        <v>29</v>
      </c>
      <c r="R50" s="704">
        <v>17.705943618020875</v>
      </c>
      <c r="S50" s="777"/>
      <c r="T50" s="821"/>
      <c r="U50" s="821"/>
      <c r="V50" s="822"/>
      <c r="W50" s="704"/>
      <c r="Z50" s="122"/>
      <c r="AA50" s="123" t="str">
        <f t="shared" si="2"/>
        <v>Set 2 24h</v>
      </c>
      <c r="AB50" s="123" t="s">
        <v>29</v>
      </c>
      <c r="AC50" s="704">
        <v>18.01062515476751</v>
      </c>
      <c r="AD50" s="777"/>
      <c r="AE50" s="821"/>
      <c r="AF50" s="821"/>
      <c r="AG50" s="822"/>
      <c r="AK50" s="122"/>
      <c r="AL50" s="123" t="str">
        <f t="shared" si="3"/>
        <v>Set 4 24h</v>
      </c>
      <c r="AM50" s="123" t="s">
        <v>29</v>
      </c>
      <c r="AN50" s="704">
        <v>20.075718852252479</v>
      </c>
      <c r="AO50" s="777"/>
      <c r="AP50" s="821"/>
      <c r="AQ50" s="821"/>
      <c r="AR50" s="822"/>
      <c r="AV50" s="122"/>
      <c r="AW50" s="123" t="str">
        <f t="shared" si="4"/>
        <v>Set 5 24h</v>
      </c>
      <c r="AX50" s="123" t="s">
        <v>29</v>
      </c>
      <c r="AY50" s="704">
        <v>20.075718852252479</v>
      </c>
      <c r="AZ50" s="777"/>
      <c r="BA50" s="821"/>
      <c r="BB50" s="821"/>
      <c r="BC50" s="822"/>
      <c r="BD50" s="704"/>
      <c r="BG50" s="122"/>
      <c r="BH50" s="123" t="str">
        <f t="shared" si="5"/>
        <v>GFP 24h</v>
      </c>
      <c r="BI50" s="123" t="s">
        <v>29</v>
      </c>
      <c r="BJ50" s="704">
        <v>18.535992396406343</v>
      </c>
      <c r="BK50" s="777"/>
      <c r="BL50" s="821"/>
      <c r="BM50" s="821"/>
      <c r="BN50" s="822"/>
      <c r="BO50" s="704"/>
    </row>
    <row r="51" spans="1:67">
      <c r="A51" s="819"/>
      <c r="B51" s="819"/>
      <c r="C51" s="103"/>
      <c r="D51" s="104" t="str">
        <f t="shared" si="0"/>
        <v>WT 24h</v>
      </c>
      <c r="E51" s="113" t="s">
        <v>29</v>
      </c>
      <c r="F51" s="704">
        <v>20.672207091833045</v>
      </c>
      <c r="G51" s="784">
        <f>AVERAGE(F51:F53)</f>
        <v>20.606234798813642</v>
      </c>
      <c r="H51" s="789"/>
      <c r="I51" s="12"/>
      <c r="J51" s="789"/>
      <c r="K51" s="787"/>
      <c r="L51" s="1"/>
      <c r="M51" s="1"/>
      <c r="N51" s="1"/>
      <c r="O51" s="112"/>
      <c r="P51" s="113" t="str">
        <f t="shared" si="1"/>
        <v>Set 1 24h</v>
      </c>
      <c r="Q51" s="113" t="s">
        <v>29</v>
      </c>
      <c r="R51" s="704">
        <v>19.224860441773529</v>
      </c>
      <c r="S51" s="776">
        <f>AVERAGE(R51:R53)</f>
        <v>19.241817163616123</v>
      </c>
      <c r="T51" s="779"/>
      <c r="U51" s="779"/>
      <c r="V51" s="782"/>
      <c r="W51" s="704"/>
      <c r="Z51" s="112"/>
      <c r="AA51" s="113" t="str">
        <f t="shared" si="2"/>
        <v>Set 2 24h</v>
      </c>
      <c r="AB51" s="113" t="s">
        <v>29</v>
      </c>
      <c r="AC51" s="704">
        <v>19.328557459368255</v>
      </c>
      <c r="AD51" s="776">
        <f>AVERAGE(AC51:AC53)</f>
        <v>19.263754598426765</v>
      </c>
      <c r="AE51" s="779"/>
      <c r="AF51" s="779"/>
      <c r="AG51" s="782"/>
      <c r="AK51" s="112"/>
      <c r="AL51" s="113" t="str">
        <f t="shared" si="3"/>
        <v>Set 4 24h</v>
      </c>
      <c r="AM51" s="113" t="s">
        <v>29</v>
      </c>
      <c r="AN51" s="704">
        <v>19.142668463834568</v>
      </c>
      <c r="AO51" s="776">
        <f>AVERAGE(AN51:AN53)</f>
        <v>19.237758208998127</v>
      </c>
      <c r="AP51" s="779"/>
      <c r="AQ51" s="779"/>
      <c r="AR51" s="782"/>
      <c r="AV51" s="112"/>
      <c r="AW51" s="113" t="str">
        <f t="shared" si="4"/>
        <v>Set 5 24h</v>
      </c>
      <c r="AX51" s="113" t="s">
        <v>29</v>
      </c>
      <c r="AY51" s="704">
        <v>19.142668463834568</v>
      </c>
      <c r="AZ51" s="776">
        <f>AVERAGE(AY51:AY53)</f>
        <v>19.237758208998127</v>
      </c>
      <c r="BA51" s="779"/>
      <c r="BB51" s="779"/>
      <c r="BC51" s="782"/>
      <c r="BD51" s="704"/>
      <c r="BG51" s="112"/>
      <c r="BH51" s="113" t="str">
        <f t="shared" si="5"/>
        <v>GFP 24h</v>
      </c>
      <c r="BI51" s="113" t="s">
        <v>29</v>
      </c>
      <c r="BJ51" s="704">
        <v>18.4830906446876</v>
      </c>
      <c r="BK51" s="776">
        <f>AVERAGE(BJ51:BJ53)</f>
        <v>18.570621653645286</v>
      </c>
      <c r="BL51" s="779"/>
      <c r="BM51" s="779"/>
      <c r="BN51" s="782"/>
      <c r="BO51" s="704"/>
    </row>
    <row r="52" spans="1:67">
      <c r="A52" s="819"/>
      <c r="B52" s="819"/>
      <c r="C52" s="103"/>
      <c r="D52" s="104" t="str">
        <f t="shared" si="0"/>
        <v>WT 24h</v>
      </c>
      <c r="E52" s="104" t="s">
        <v>29</v>
      </c>
      <c r="F52" s="704"/>
      <c r="G52" s="776"/>
      <c r="H52" s="779"/>
      <c r="I52" s="13"/>
      <c r="J52" s="779"/>
      <c r="K52" s="782"/>
      <c r="L52" s="1"/>
      <c r="M52" s="1"/>
      <c r="N52" s="1"/>
      <c r="O52" s="103"/>
      <c r="P52" s="104" t="str">
        <f t="shared" si="1"/>
        <v>Set 1 24h</v>
      </c>
      <c r="Q52" s="104" t="s">
        <v>29</v>
      </c>
      <c r="R52" s="704">
        <v>19.644558311870803</v>
      </c>
      <c r="S52" s="776"/>
      <c r="T52" s="779"/>
      <c r="U52" s="779"/>
      <c r="V52" s="782"/>
      <c r="W52" s="704"/>
      <c r="Z52" s="103"/>
      <c r="AA52" s="104" t="str">
        <f t="shared" si="2"/>
        <v>Set 2 24h</v>
      </c>
      <c r="AB52" s="104" t="s">
        <v>29</v>
      </c>
      <c r="AC52" s="704">
        <v>19.610463706475805</v>
      </c>
      <c r="AD52" s="776"/>
      <c r="AE52" s="779"/>
      <c r="AF52" s="779"/>
      <c r="AG52" s="782"/>
      <c r="AK52" s="103"/>
      <c r="AL52" s="104" t="str">
        <f t="shared" si="3"/>
        <v>Set 4 24h</v>
      </c>
      <c r="AM52" s="104" t="s">
        <v>29</v>
      </c>
      <c r="AN52" s="704">
        <v>19.318447462477323</v>
      </c>
      <c r="AO52" s="776"/>
      <c r="AP52" s="779"/>
      <c r="AQ52" s="779"/>
      <c r="AR52" s="782"/>
      <c r="AV52" s="103"/>
      <c r="AW52" s="104" t="str">
        <f t="shared" si="4"/>
        <v>Set 5 24h</v>
      </c>
      <c r="AX52" s="104" t="s">
        <v>29</v>
      </c>
      <c r="AY52" s="704">
        <v>19.318447462477323</v>
      </c>
      <c r="AZ52" s="776"/>
      <c r="BA52" s="779"/>
      <c r="BB52" s="779"/>
      <c r="BC52" s="782"/>
      <c r="BD52" s="704"/>
      <c r="BG52" s="103"/>
      <c r="BH52" s="104" t="str">
        <f t="shared" si="5"/>
        <v>GFP 24h</v>
      </c>
      <c r="BI52" s="104" t="s">
        <v>29</v>
      </c>
      <c r="BJ52" s="704">
        <v>18.980716659280915</v>
      </c>
      <c r="BK52" s="776"/>
      <c r="BL52" s="779"/>
      <c r="BM52" s="779"/>
      <c r="BN52" s="782"/>
      <c r="BO52" s="704"/>
    </row>
    <row r="53" spans="1:67" ht="16.2" thickBot="1">
      <c r="A53" s="820"/>
      <c r="B53" s="820"/>
      <c r="C53" s="106"/>
      <c r="D53" s="107" t="str">
        <f t="shared" si="0"/>
        <v>WT 24h</v>
      </c>
      <c r="E53" s="107" t="s">
        <v>29</v>
      </c>
      <c r="F53" s="704">
        <v>20.540262505794239</v>
      </c>
      <c r="G53" s="792"/>
      <c r="H53" s="793"/>
      <c r="I53" s="15"/>
      <c r="J53" s="793"/>
      <c r="K53" s="794"/>
      <c r="L53" s="1"/>
      <c r="M53" s="1"/>
      <c r="N53" s="1"/>
      <c r="O53" s="106"/>
      <c r="P53" s="107" t="str">
        <f t="shared" si="1"/>
        <v>Set 1 24h</v>
      </c>
      <c r="Q53" s="107" t="s">
        <v>29</v>
      </c>
      <c r="R53" s="704">
        <v>18.856032737204039</v>
      </c>
      <c r="S53" s="792"/>
      <c r="T53" s="793"/>
      <c r="U53" s="793"/>
      <c r="V53" s="794"/>
      <c r="W53" s="704"/>
      <c r="Z53" s="106"/>
      <c r="AA53" s="107" t="str">
        <f t="shared" si="2"/>
        <v>Set 2 24h</v>
      </c>
      <c r="AB53" s="107" t="s">
        <v>29</v>
      </c>
      <c r="AC53" s="704">
        <v>18.852242629436233</v>
      </c>
      <c r="AD53" s="792"/>
      <c r="AE53" s="793"/>
      <c r="AF53" s="793"/>
      <c r="AG53" s="794"/>
      <c r="AK53" s="106"/>
      <c r="AL53" s="107" t="str">
        <f t="shared" si="3"/>
        <v>Set 4 24h</v>
      </c>
      <c r="AM53" s="107" t="s">
        <v>29</v>
      </c>
      <c r="AN53" s="704">
        <v>19.252158700682486</v>
      </c>
      <c r="AO53" s="792"/>
      <c r="AP53" s="793"/>
      <c r="AQ53" s="793"/>
      <c r="AR53" s="794"/>
      <c r="AV53" s="106"/>
      <c r="AW53" s="107" t="str">
        <f t="shared" si="4"/>
        <v>Set 5 24h</v>
      </c>
      <c r="AX53" s="107" t="s">
        <v>29</v>
      </c>
      <c r="AY53" s="704">
        <v>19.252158700682486</v>
      </c>
      <c r="AZ53" s="792"/>
      <c r="BA53" s="793"/>
      <c r="BB53" s="793"/>
      <c r="BC53" s="794"/>
      <c r="BD53" s="704"/>
      <c r="BG53" s="106"/>
      <c r="BH53" s="107" t="str">
        <f t="shared" si="5"/>
        <v>GFP 24h</v>
      </c>
      <c r="BI53" s="107" t="s">
        <v>29</v>
      </c>
      <c r="BJ53" s="704">
        <v>18.24805765696734</v>
      </c>
      <c r="BK53" s="792"/>
      <c r="BL53" s="793"/>
      <c r="BM53" s="793"/>
      <c r="BN53" s="794"/>
      <c r="BO53" s="704"/>
    </row>
    <row r="54" spans="1:67">
      <c r="A54" s="802" t="s">
        <v>10</v>
      </c>
      <c r="B54" s="802" t="str">
        <f>E54</f>
        <v>nsP3</v>
      </c>
      <c r="C54" s="54"/>
      <c r="D54" s="55" t="str">
        <f t="shared" si="0"/>
        <v>WT 24h</v>
      </c>
      <c r="E54" s="55" t="s">
        <v>30</v>
      </c>
      <c r="F54" s="704"/>
      <c r="G54" s="721">
        <f>AVERAGE(F54:F56)</f>
        <v>18.462687911600511</v>
      </c>
      <c r="H54" s="722">
        <f>G54-G45</f>
        <v>-2.0088851066664937</v>
      </c>
      <c r="I54" s="722">
        <f>AVERAGE(H54:H62)</f>
        <v>-1.9180629893664793</v>
      </c>
      <c r="J54" s="724">
        <f>H54-I54</f>
        <v>-9.0822117300014327E-2</v>
      </c>
      <c r="K54" s="705">
        <f>2^-(J54)</f>
        <v>1.0649768848279992</v>
      </c>
      <c r="L54" s="1"/>
      <c r="M54" s="1"/>
      <c r="N54" s="1"/>
      <c r="O54" s="54"/>
      <c r="P54" s="55" t="str">
        <f t="shared" si="1"/>
        <v>Set 1 24h</v>
      </c>
      <c r="Q54" s="55" t="s">
        <v>30</v>
      </c>
      <c r="R54" s="704">
        <v>19.075894881140734</v>
      </c>
      <c r="S54" s="721">
        <f>AVERAGE(R54:R56)</f>
        <v>18.867161850841594</v>
      </c>
      <c r="T54" s="722">
        <f>S54-S45</f>
        <v>-0.65431146587104649</v>
      </c>
      <c r="U54" s="724">
        <f>T54-I54</f>
        <v>1.2637515234954328</v>
      </c>
      <c r="V54" s="705">
        <f>2^-(U54)</f>
        <v>0.41645960643024144</v>
      </c>
      <c r="W54" s="704"/>
      <c r="Z54" s="54"/>
      <c r="AA54" s="55" t="str">
        <f t="shared" si="2"/>
        <v>Set 2 24h</v>
      </c>
      <c r="AB54" s="55" t="s">
        <v>30</v>
      </c>
      <c r="AC54" s="704">
        <v>18.231772850039739</v>
      </c>
      <c r="AD54" s="721">
        <f>AVERAGE(AC54:AC56)</f>
        <v>18.070737417050292</v>
      </c>
      <c r="AE54" s="722">
        <f>AD54-AD45</f>
        <v>0.54113763715282914</v>
      </c>
      <c r="AF54" s="724">
        <f>AE54-I54</f>
        <v>2.4592006265193085</v>
      </c>
      <c r="AG54" s="705">
        <f>2^-(AF54)</f>
        <v>0.18184729533706392</v>
      </c>
      <c r="AK54" s="54"/>
      <c r="AL54" s="55" t="str">
        <f t="shared" si="3"/>
        <v>Set 4 24h</v>
      </c>
      <c r="AM54" s="55" t="s">
        <v>30</v>
      </c>
      <c r="AN54" s="704">
        <v>20.782261044498419</v>
      </c>
      <c r="AO54" s="721">
        <f>AVERAGE(AN54:AN56)</f>
        <v>20.708841824844779</v>
      </c>
      <c r="AP54" s="722">
        <f>AO54-AO45</f>
        <v>0.34053530005575539</v>
      </c>
      <c r="AQ54" s="724">
        <f>AP54-I54</f>
        <v>2.2585982894222347</v>
      </c>
      <c r="AR54" s="705">
        <f>2^-(AQ54)</f>
        <v>0.20897491955851222</v>
      </c>
      <c r="AV54" s="54"/>
      <c r="AW54" s="55" t="str">
        <f t="shared" si="4"/>
        <v>Set 5 24h</v>
      </c>
      <c r="AX54" s="55" t="s">
        <v>30</v>
      </c>
      <c r="AY54" s="704"/>
      <c r="AZ54" s="721">
        <f>AVERAGE(AY54:AY56)</f>
        <v>18.889539797770254</v>
      </c>
      <c r="BA54" s="722">
        <f>AZ54-AZ45</f>
        <v>-1.478766727018769</v>
      </c>
      <c r="BB54" s="724">
        <f>BA54-I54</f>
        <v>0.43929626234771035</v>
      </c>
      <c r="BC54" s="705">
        <f>2^-(BB54)</f>
        <v>0.73749426602714252</v>
      </c>
      <c r="BD54" s="704"/>
      <c r="BG54" s="54"/>
      <c r="BH54" s="55" t="str">
        <f t="shared" si="5"/>
        <v>GFP 24h</v>
      </c>
      <c r="BI54" s="55" t="s">
        <v>30</v>
      </c>
      <c r="BJ54" s="704">
        <v>17.757053056339963</v>
      </c>
      <c r="BK54" s="721">
        <f>AVERAGE(BJ54:BJ56)</f>
        <v>17.463924129744729</v>
      </c>
      <c r="BL54" s="722">
        <f>BK54-BK45</f>
        <v>-0.42822188956027674</v>
      </c>
      <c r="BM54" s="724">
        <f>BL54-I54</f>
        <v>1.4898410998062026</v>
      </c>
      <c r="BN54" s="705">
        <f>2^-(BM54)</f>
        <v>0.35605176271569849</v>
      </c>
      <c r="BO54" s="704"/>
    </row>
    <row r="55" spans="1:67">
      <c r="A55" s="803"/>
      <c r="B55" s="803"/>
      <c r="C55" s="54"/>
      <c r="D55" s="55" t="str">
        <f t="shared" si="0"/>
        <v>WT 24h</v>
      </c>
      <c r="E55" s="55" t="s">
        <v>30</v>
      </c>
      <c r="F55" s="704"/>
      <c r="G55" s="709"/>
      <c r="H55" s="712"/>
      <c r="I55" s="712"/>
      <c r="J55" s="715"/>
      <c r="K55" s="706"/>
      <c r="L55" s="1"/>
      <c r="M55" s="1"/>
      <c r="N55" s="1"/>
      <c r="O55" s="54"/>
      <c r="P55" s="55" t="str">
        <f t="shared" si="1"/>
        <v>Set 1 24h</v>
      </c>
      <c r="Q55" s="55" t="s">
        <v>30</v>
      </c>
      <c r="R55" s="704">
        <v>18.406873824484691</v>
      </c>
      <c r="S55" s="709"/>
      <c r="T55" s="712"/>
      <c r="U55" s="715"/>
      <c r="V55" s="706"/>
      <c r="W55" s="704"/>
      <c r="Z55" s="54"/>
      <c r="AA55" s="55" t="str">
        <f t="shared" si="2"/>
        <v>Set 2 24h</v>
      </c>
      <c r="AB55" s="55" t="s">
        <v>30</v>
      </c>
      <c r="AC55" s="704">
        <v>17.814542702637389</v>
      </c>
      <c r="AD55" s="709"/>
      <c r="AE55" s="712"/>
      <c r="AF55" s="715"/>
      <c r="AG55" s="706"/>
      <c r="AK55" s="54"/>
      <c r="AL55" s="55" t="str">
        <f t="shared" si="3"/>
        <v>Set 4 24h</v>
      </c>
      <c r="AM55" s="55" t="s">
        <v>30</v>
      </c>
      <c r="AN55" s="704">
        <v>20.61187312903003</v>
      </c>
      <c r="AO55" s="709"/>
      <c r="AP55" s="712"/>
      <c r="AQ55" s="715"/>
      <c r="AR55" s="706"/>
      <c r="AV55" s="54"/>
      <c r="AW55" s="55" t="str">
        <f t="shared" si="4"/>
        <v>Set 5 24h</v>
      </c>
      <c r="AX55" s="55" t="s">
        <v>30</v>
      </c>
      <c r="AY55" s="704"/>
      <c r="AZ55" s="709"/>
      <c r="BA55" s="712"/>
      <c r="BB55" s="715"/>
      <c r="BC55" s="706"/>
      <c r="BD55" s="704"/>
      <c r="BG55" s="54"/>
      <c r="BH55" s="55" t="str">
        <f t="shared" si="5"/>
        <v>GFP 24h</v>
      </c>
      <c r="BI55" s="55" t="s">
        <v>30</v>
      </c>
      <c r="BJ55" s="704">
        <v>17.049854392433758</v>
      </c>
      <c r="BK55" s="709"/>
      <c r="BL55" s="712"/>
      <c r="BM55" s="715"/>
      <c r="BN55" s="706"/>
      <c r="BO55" s="704"/>
    </row>
    <row r="56" spans="1:67">
      <c r="A56" s="803"/>
      <c r="B56" s="803"/>
      <c r="C56" s="57"/>
      <c r="D56" s="58" t="str">
        <f t="shared" si="0"/>
        <v>WT 24h</v>
      </c>
      <c r="E56" s="58" t="s">
        <v>30</v>
      </c>
      <c r="F56" s="704">
        <v>18.462687911600511</v>
      </c>
      <c r="G56" s="710"/>
      <c r="H56" s="713"/>
      <c r="I56" s="712"/>
      <c r="J56" s="716"/>
      <c r="K56" s="707"/>
      <c r="L56" s="1"/>
      <c r="M56" s="1"/>
      <c r="N56" s="1"/>
      <c r="O56" s="57"/>
      <c r="P56" s="58" t="str">
        <f t="shared" si="1"/>
        <v>Set 1 24h</v>
      </c>
      <c r="Q56" s="58" t="s">
        <v>30</v>
      </c>
      <c r="R56" s="704">
        <v>19.118716846899353</v>
      </c>
      <c r="S56" s="710"/>
      <c r="T56" s="713"/>
      <c r="U56" s="716"/>
      <c r="V56" s="707"/>
      <c r="W56" s="704"/>
      <c r="X56" s="704"/>
      <c r="Z56" s="57"/>
      <c r="AA56" s="58" t="str">
        <f t="shared" si="2"/>
        <v>Set 2 24h</v>
      </c>
      <c r="AB56" s="58" t="s">
        <v>30</v>
      </c>
      <c r="AC56" s="704">
        <v>18.165896698473752</v>
      </c>
      <c r="AD56" s="710"/>
      <c r="AE56" s="713"/>
      <c r="AF56" s="716"/>
      <c r="AG56" s="707"/>
      <c r="AK56" s="57"/>
      <c r="AL56" s="58" t="str">
        <f t="shared" si="3"/>
        <v>Set 4 24h</v>
      </c>
      <c r="AM56" s="58" t="s">
        <v>30</v>
      </c>
      <c r="AN56" s="704">
        <v>20.732391301005883</v>
      </c>
      <c r="AO56" s="710"/>
      <c r="AP56" s="713"/>
      <c r="AQ56" s="716"/>
      <c r="AR56" s="707"/>
      <c r="AV56" s="57"/>
      <c r="AW56" s="58" t="str">
        <f t="shared" si="4"/>
        <v>Set 5 24h</v>
      </c>
      <c r="AX56" s="58" t="s">
        <v>30</v>
      </c>
      <c r="AY56" s="704">
        <v>18.889539797770254</v>
      </c>
      <c r="AZ56" s="710"/>
      <c r="BA56" s="713"/>
      <c r="BB56" s="716"/>
      <c r="BC56" s="707"/>
      <c r="BD56" s="704"/>
      <c r="BG56" s="57"/>
      <c r="BH56" s="58" t="str">
        <f t="shared" si="5"/>
        <v>GFP 24h</v>
      </c>
      <c r="BI56" s="58" t="s">
        <v>30</v>
      </c>
      <c r="BJ56" s="704">
        <v>17.58486494046047</v>
      </c>
      <c r="BK56" s="710"/>
      <c r="BL56" s="713"/>
      <c r="BM56" s="716"/>
      <c r="BN56" s="707"/>
      <c r="BO56" s="704"/>
    </row>
    <row r="57" spans="1:67">
      <c r="A57" s="803"/>
      <c r="B57" s="803"/>
      <c r="C57" s="65"/>
      <c r="D57" s="66" t="str">
        <f t="shared" si="0"/>
        <v>WT 24h</v>
      </c>
      <c r="E57" s="66" t="s">
        <v>30</v>
      </c>
      <c r="F57" s="704">
        <v>19.064070821592281</v>
      </c>
      <c r="G57" s="708">
        <f>AVERAGE(F57:F59)</f>
        <v>18.704449846483065</v>
      </c>
      <c r="H57" s="711">
        <f>G57-G48</f>
        <v>-1.9586608295493342</v>
      </c>
      <c r="I57" s="712"/>
      <c r="J57" s="714">
        <f>H57-I54</f>
        <v>-4.0597840182854839E-2</v>
      </c>
      <c r="K57" s="717">
        <f>2^-(J57)</f>
        <v>1.0285399563027453</v>
      </c>
      <c r="L57" s="1"/>
      <c r="M57" s="1"/>
      <c r="N57" s="1"/>
      <c r="O57" s="65"/>
      <c r="P57" s="66" t="str">
        <f t="shared" si="1"/>
        <v>Set 1 24h</v>
      </c>
      <c r="Q57" s="66" t="s">
        <v>30</v>
      </c>
      <c r="R57" s="704">
        <v>18.110746914358998</v>
      </c>
      <c r="S57" s="708">
        <f>AVERAGE(R57:R59)</f>
        <v>17.858328581742018</v>
      </c>
      <c r="T57" s="711">
        <f>S57-S48</f>
        <v>0.20961932678935469</v>
      </c>
      <c r="U57" s="714">
        <f>T57-I54</f>
        <v>2.127682316155834</v>
      </c>
      <c r="V57" s="717">
        <f>2^-(U57)</f>
        <v>0.22882517416806944</v>
      </c>
      <c r="W57" s="704"/>
      <c r="X57" s="704"/>
      <c r="Z57" s="65"/>
      <c r="AA57" s="66" t="str">
        <f t="shared" si="2"/>
        <v>Set 2 24h</v>
      </c>
      <c r="AB57" s="66" t="s">
        <v>30</v>
      </c>
      <c r="AC57" s="704">
        <v>18.20799314863595</v>
      </c>
      <c r="AD57" s="708">
        <f>AVERAGE(AC57:AC59)</f>
        <v>17.751046339467454</v>
      </c>
      <c r="AE57" s="711">
        <f>AD57-AD48</f>
        <v>-0.10768171556419404</v>
      </c>
      <c r="AF57" s="714">
        <f>AE57-I54</f>
        <v>1.8103812738022853</v>
      </c>
      <c r="AG57" s="717">
        <f>2^-(AF57)</f>
        <v>0.28511556899167234</v>
      </c>
      <c r="AK57" s="65"/>
      <c r="AL57" s="66" t="str">
        <f t="shared" si="3"/>
        <v>Set 4 24h</v>
      </c>
      <c r="AM57" s="66" t="s">
        <v>30</v>
      </c>
      <c r="AN57" s="704">
        <v>20.940366404374231</v>
      </c>
      <c r="AO57" s="708">
        <f>AVERAGE(AN57:AN59)</f>
        <v>20.798443608062296</v>
      </c>
      <c r="AP57" s="711">
        <f>AO57-AO48</f>
        <v>0.4775987448409218</v>
      </c>
      <c r="AQ57" s="714">
        <f>AP57-I54</f>
        <v>2.3956617342074011</v>
      </c>
      <c r="AR57" s="717">
        <f>2^-(AQ57)</f>
        <v>0.19003515898692047</v>
      </c>
      <c r="AV57" s="65"/>
      <c r="AW57" s="66" t="str">
        <f t="shared" si="4"/>
        <v>Set 5 24h</v>
      </c>
      <c r="AX57" s="66" t="s">
        <v>30</v>
      </c>
      <c r="AY57" s="704"/>
      <c r="AZ57" s="708">
        <f>AVERAGE(AY57:AY59)</f>
        <v>19.140344501885117</v>
      </c>
      <c r="BA57" s="711">
        <f>AZ57-AZ48</f>
        <v>-1.1805003613362572</v>
      </c>
      <c r="BB57" s="714">
        <f>BA57-I54</f>
        <v>0.7375626280302221</v>
      </c>
      <c r="BC57" s="717">
        <f>2^-(BB57)</f>
        <v>0.59975175196635033</v>
      </c>
      <c r="BD57" s="704"/>
      <c r="BG57" s="65"/>
      <c r="BH57" s="66" t="str">
        <f t="shared" si="5"/>
        <v>GFP 24h</v>
      </c>
      <c r="BI57" s="66" t="s">
        <v>30</v>
      </c>
      <c r="BJ57" s="704">
        <v>17.027959315005688</v>
      </c>
      <c r="BK57" s="708">
        <f>AVERAGE(BJ57:BJ59)</f>
        <v>17.037904990187926</v>
      </c>
      <c r="BL57" s="711">
        <f>BK57-BK48</f>
        <v>-1.424587211703443</v>
      </c>
      <c r="BM57" s="714">
        <f>BL57-I54</f>
        <v>0.4934757776630363</v>
      </c>
      <c r="BN57" s="717">
        <f>2^-(BM57)</f>
        <v>0.71031173355441313</v>
      </c>
      <c r="BO57" s="704"/>
    </row>
    <row r="58" spans="1:67">
      <c r="A58" s="803"/>
      <c r="B58" s="803"/>
      <c r="C58" s="67"/>
      <c r="D58" s="68" t="str">
        <f t="shared" si="0"/>
        <v>WT 24h</v>
      </c>
      <c r="E58" s="68" t="s">
        <v>30</v>
      </c>
      <c r="F58" s="704">
        <v>18.513968588103985</v>
      </c>
      <c r="G58" s="709"/>
      <c r="H58" s="712"/>
      <c r="I58" s="712"/>
      <c r="J58" s="715"/>
      <c r="K58" s="706"/>
      <c r="L58" s="1"/>
      <c r="M58" s="1"/>
      <c r="N58" s="1"/>
      <c r="O58" s="67"/>
      <c r="P58" s="68" t="str">
        <f t="shared" si="1"/>
        <v>Set 1 24h</v>
      </c>
      <c r="Q58" s="68" t="s">
        <v>30</v>
      </c>
      <c r="R58" s="704">
        <v>18.26473888946574</v>
      </c>
      <c r="S58" s="709"/>
      <c r="T58" s="712"/>
      <c r="U58" s="715"/>
      <c r="V58" s="706"/>
      <c r="W58" s="704"/>
      <c r="X58" s="704"/>
      <c r="Z58" s="67"/>
      <c r="AA58" s="68" t="str">
        <f t="shared" si="2"/>
        <v>Set 2 24h</v>
      </c>
      <c r="AB58" s="68" t="s">
        <v>30</v>
      </c>
      <c r="AC58" s="704">
        <v>17.825047307737904</v>
      </c>
      <c r="AD58" s="709"/>
      <c r="AE58" s="712"/>
      <c r="AF58" s="715"/>
      <c r="AG58" s="706"/>
      <c r="AK58" s="67"/>
      <c r="AL58" s="68" t="str">
        <f t="shared" si="3"/>
        <v>Set 4 24h</v>
      </c>
      <c r="AM58" s="68" t="s">
        <v>30</v>
      </c>
      <c r="AN58" s="704">
        <v>20.643332001521266</v>
      </c>
      <c r="AO58" s="709"/>
      <c r="AP58" s="712"/>
      <c r="AQ58" s="715"/>
      <c r="AR58" s="706"/>
      <c r="AV58" s="67"/>
      <c r="AW58" s="68" t="str">
        <f t="shared" si="4"/>
        <v>Set 5 24h</v>
      </c>
      <c r="AX58" s="68" t="s">
        <v>30</v>
      </c>
      <c r="AY58" s="704"/>
      <c r="AZ58" s="709"/>
      <c r="BA58" s="712"/>
      <c r="BB58" s="715"/>
      <c r="BC58" s="706"/>
      <c r="BD58" s="704"/>
      <c r="BG58" s="67"/>
      <c r="BH58" s="68" t="str">
        <f t="shared" si="5"/>
        <v>GFP 24h</v>
      </c>
      <c r="BI58" s="68" t="s">
        <v>30</v>
      </c>
      <c r="BJ58" s="704">
        <v>17.047850665370163</v>
      </c>
      <c r="BK58" s="709"/>
      <c r="BL58" s="712"/>
      <c r="BM58" s="715"/>
      <c r="BN58" s="706"/>
      <c r="BO58" s="704"/>
    </row>
    <row r="59" spans="1:67">
      <c r="A59" s="803"/>
      <c r="B59" s="803"/>
      <c r="C59" s="70"/>
      <c r="D59" s="71" t="str">
        <f t="shared" si="0"/>
        <v>WT 24h</v>
      </c>
      <c r="E59" s="71" t="s">
        <v>30</v>
      </c>
      <c r="F59" s="704">
        <v>18.535310129752929</v>
      </c>
      <c r="G59" s="710"/>
      <c r="H59" s="713"/>
      <c r="I59" s="712"/>
      <c r="J59" s="716"/>
      <c r="K59" s="707"/>
      <c r="L59" s="1"/>
      <c r="M59" s="1"/>
      <c r="N59" s="1"/>
      <c r="O59" s="70"/>
      <c r="P59" s="71" t="str">
        <f t="shared" si="1"/>
        <v>Set 1 24h</v>
      </c>
      <c r="Q59" s="71" t="s">
        <v>30</v>
      </c>
      <c r="R59" s="704">
        <v>17.199499941401321</v>
      </c>
      <c r="S59" s="710"/>
      <c r="T59" s="713"/>
      <c r="U59" s="716"/>
      <c r="V59" s="707"/>
      <c r="W59" s="704"/>
      <c r="X59" s="704"/>
      <c r="Z59" s="70"/>
      <c r="AA59" s="71" t="str">
        <f t="shared" si="2"/>
        <v>Set 2 24h</v>
      </c>
      <c r="AB59" s="71" t="s">
        <v>30</v>
      </c>
      <c r="AC59" s="704">
        <v>17.220098562028511</v>
      </c>
      <c r="AD59" s="710"/>
      <c r="AE59" s="713"/>
      <c r="AF59" s="716"/>
      <c r="AG59" s="707"/>
      <c r="AK59" s="70"/>
      <c r="AL59" s="71" t="str">
        <f t="shared" si="3"/>
        <v>Set 4 24h</v>
      </c>
      <c r="AM59" s="71" t="s">
        <v>30</v>
      </c>
      <c r="AN59" s="704">
        <v>20.811632418291389</v>
      </c>
      <c r="AO59" s="710"/>
      <c r="AP59" s="713"/>
      <c r="AQ59" s="716"/>
      <c r="AR59" s="707"/>
      <c r="AV59" s="70"/>
      <c r="AW59" s="71" t="str">
        <f t="shared" si="4"/>
        <v>Set 5 24h</v>
      </c>
      <c r="AX59" s="71" t="s">
        <v>30</v>
      </c>
      <c r="AY59" s="704">
        <v>19.140344501885117</v>
      </c>
      <c r="AZ59" s="710"/>
      <c r="BA59" s="713"/>
      <c r="BB59" s="716"/>
      <c r="BC59" s="707"/>
      <c r="BD59" s="704"/>
      <c r="BG59" s="70"/>
      <c r="BH59" s="71" t="str">
        <f t="shared" si="5"/>
        <v>GFP 24h</v>
      </c>
      <c r="BI59" s="71" t="s">
        <v>30</v>
      </c>
      <c r="BJ59" s="704"/>
      <c r="BK59" s="710"/>
      <c r="BL59" s="713"/>
      <c r="BM59" s="716"/>
      <c r="BN59" s="707"/>
      <c r="BO59" s="704"/>
    </row>
    <row r="60" spans="1:67">
      <c r="A60" s="803"/>
      <c r="B60" s="803"/>
      <c r="C60" s="60"/>
      <c r="D60" s="61" t="str">
        <f t="shared" si="0"/>
        <v>WT 24h</v>
      </c>
      <c r="E60" s="74" t="s">
        <v>30</v>
      </c>
      <c r="F60" s="704"/>
      <c r="G60" s="708">
        <f>AVERAGE(F60:F62)</f>
        <v>18.819591766930031</v>
      </c>
      <c r="H60" s="711">
        <f>G60-G51</f>
        <v>-1.7866430318836102</v>
      </c>
      <c r="I60" s="712"/>
      <c r="J60" s="715">
        <f>H60-I54</f>
        <v>0.13141995748286917</v>
      </c>
      <c r="K60" s="706">
        <f>2^-(J60)</f>
        <v>0.91293246367781822</v>
      </c>
      <c r="L60" s="1"/>
      <c r="M60" s="1"/>
      <c r="N60" s="1"/>
      <c r="O60" s="73"/>
      <c r="P60" s="74" t="str">
        <f t="shared" si="1"/>
        <v>Set 1 24h</v>
      </c>
      <c r="Q60" s="74" t="s">
        <v>30</v>
      </c>
      <c r="R60" s="704">
        <v>18.900067207767414</v>
      </c>
      <c r="S60" s="709">
        <f>AVERAGE(R60:R62)</f>
        <v>19.467776970479548</v>
      </c>
      <c r="T60" s="712">
        <f>S60-S51</f>
        <v>0.22595980686342543</v>
      </c>
      <c r="U60" s="715">
        <f>T60-I54</f>
        <v>2.1440227962299048</v>
      </c>
      <c r="V60" s="706">
        <f>2^-(U60)</f>
        <v>0.22624804071495339</v>
      </c>
      <c r="W60" s="704"/>
      <c r="X60" s="704"/>
      <c r="Z60" s="73"/>
      <c r="AA60" s="74" t="str">
        <f t="shared" si="2"/>
        <v>Set 2 24h</v>
      </c>
      <c r="AB60" s="74" t="s">
        <v>30</v>
      </c>
      <c r="AC60" s="704">
        <v>19.470671868946397</v>
      </c>
      <c r="AD60" s="709">
        <f>AVERAGE(AC60:AC62)</f>
        <v>19.791471587394216</v>
      </c>
      <c r="AE60" s="712">
        <f>AD60-AD51</f>
        <v>0.52771698896745178</v>
      </c>
      <c r="AF60" s="715">
        <f>AE60-I54</f>
        <v>2.4457799783339311</v>
      </c>
      <c r="AG60" s="706">
        <f>2^-(AF60)</f>
        <v>0.18354681961763783</v>
      </c>
      <c r="AI60" s="704"/>
      <c r="AK60" s="73"/>
      <c r="AL60" s="74" t="str">
        <f t="shared" si="3"/>
        <v>Set 4 24h</v>
      </c>
      <c r="AM60" s="74" t="s">
        <v>30</v>
      </c>
      <c r="AN60" s="704">
        <v>19.517558457877428</v>
      </c>
      <c r="AO60" s="709">
        <f>AVERAGE(AN60:AN62)</f>
        <v>19.396313687564309</v>
      </c>
      <c r="AP60" s="712">
        <f>AO60-AO51</f>
        <v>0.15855547856618202</v>
      </c>
      <c r="AQ60" s="715">
        <f>AP60-I54</f>
        <v>2.0766184679326614</v>
      </c>
      <c r="AR60" s="706">
        <f>2^-(AQ60)</f>
        <v>0.23706942787035645</v>
      </c>
      <c r="AV60" s="73"/>
      <c r="AW60" s="74" t="str">
        <f t="shared" si="4"/>
        <v>Set 5 24h</v>
      </c>
      <c r="AX60" s="74" t="s">
        <v>30</v>
      </c>
      <c r="AY60" s="704">
        <v>18.605618044132733</v>
      </c>
      <c r="AZ60" s="709">
        <f>AVERAGE(AY60:AY62)</f>
        <v>18.605618044132733</v>
      </c>
      <c r="BA60" s="712">
        <f>AZ60-AZ51</f>
        <v>-0.63214016486539393</v>
      </c>
      <c r="BB60" s="715">
        <f>BA60-I54</f>
        <v>1.2859228245010854</v>
      </c>
      <c r="BC60" s="706">
        <f>2^-(BB60)</f>
        <v>0.41010839334156768</v>
      </c>
      <c r="BD60" s="704"/>
      <c r="BG60" s="73"/>
      <c r="BH60" s="74" t="str">
        <f t="shared" si="5"/>
        <v>GFP 24h</v>
      </c>
      <c r="BI60" s="74" t="s">
        <v>30</v>
      </c>
      <c r="BJ60" s="704">
        <v>17.210056637713151</v>
      </c>
      <c r="BK60" s="709">
        <f>AVERAGE(BJ60:BJ62)</f>
        <v>17.638862079581724</v>
      </c>
      <c r="BL60" s="712">
        <f>BK60-BK51</f>
        <v>-0.93175957406356247</v>
      </c>
      <c r="BM60" s="715">
        <f>BL60-I54</f>
        <v>0.98630341530291687</v>
      </c>
      <c r="BN60" s="706">
        <f>2^-(BM60)</f>
        <v>0.50476947882741152</v>
      </c>
      <c r="BO60" s="704"/>
    </row>
    <row r="61" spans="1:67">
      <c r="A61" s="803"/>
      <c r="B61" s="803"/>
      <c r="C61" s="54"/>
      <c r="D61" s="55" t="str">
        <f t="shared" si="0"/>
        <v>WT 24h</v>
      </c>
      <c r="E61" s="55" t="s">
        <v>30</v>
      </c>
      <c r="F61" s="704">
        <v>18.819591766930031</v>
      </c>
      <c r="G61" s="709"/>
      <c r="H61" s="712"/>
      <c r="I61" s="712"/>
      <c r="J61" s="715"/>
      <c r="K61" s="706"/>
      <c r="L61" s="1"/>
      <c r="M61" s="1"/>
      <c r="N61" s="1"/>
      <c r="O61" s="54"/>
      <c r="P61" s="55" t="str">
        <f t="shared" si="1"/>
        <v>Set 1 24h</v>
      </c>
      <c r="Q61" s="55" t="s">
        <v>30</v>
      </c>
      <c r="R61" s="704">
        <v>19.699336468410358</v>
      </c>
      <c r="S61" s="709"/>
      <c r="T61" s="712"/>
      <c r="U61" s="715"/>
      <c r="V61" s="706"/>
      <c r="W61" s="704"/>
      <c r="X61" s="704"/>
      <c r="Z61" s="54"/>
      <c r="AA61" s="55" t="str">
        <f t="shared" si="2"/>
        <v>Set 2 24h</v>
      </c>
      <c r="AB61" s="55" t="s">
        <v>30</v>
      </c>
      <c r="AC61" s="704">
        <v>19.983830177209931</v>
      </c>
      <c r="AD61" s="709"/>
      <c r="AE61" s="712"/>
      <c r="AF61" s="715"/>
      <c r="AG61" s="706"/>
      <c r="AI61" s="704"/>
      <c r="AK61" s="54"/>
      <c r="AL61" s="55" t="str">
        <f t="shared" si="3"/>
        <v>Set 4 24h</v>
      </c>
      <c r="AM61" s="55" t="s">
        <v>30</v>
      </c>
      <c r="AN61" s="704">
        <v>19.226150418631413</v>
      </c>
      <c r="AO61" s="709"/>
      <c r="AP61" s="712"/>
      <c r="AQ61" s="715"/>
      <c r="AR61" s="706"/>
      <c r="AV61" s="54"/>
      <c r="AW61" s="55" t="str">
        <f t="shared" si="4"/>
        <v>Set 5 24h</v>
      </c>
      <c r="AX61" s="55" t="s">
        <v>30</v>
      </c>
      <c r="AY61" s="704"/>
      <c r="AZ61" s="709"/>
      <c r="BA61" s="712"/>
      <c r="BB61" s="715"/>
      <c r="BC61" s="706"/>
      <c r="BD61" s="704"/>
      <c r="BG61" s="54"/>
      <c r="BH61" s="55" t="str">
        <f t="shared" si="5"/>
        <v>GFP 24h</v>
      </c>
      <c r="BI61" s="55" t="s">
        <v>30</v>
      </c>
      <c r="BJ61" s="704">
        <v>17.842125865132637</v>
      </c>
      <c r="BK61" s="709"/>
      <c r="BL61" s="712"/>
      <c r="BM61" s="715"/>
      <c r="BN61" s="706"/>
      <c r="BO61" s="704"/>
    </row>
    <row r="62" spans="1:67" ht="16.2" thickBot="1">
      <c r="A62" s="804"/>
      <c r="B62" s="804"/>
      <c r="C62" s="62"/>
      <c r="D62" s="63" t="str">
        <f t="shared" si="0"/>
        <v>WT 24h</v>
      </c>
      <c r="E62" s="63" t="s">
        <v>30</v>
      </c>
      <c r="F62" s="704"/>
      <c r="G62" s="725"/>
      <c r="H62" s="723"/>
      <c r="I62" s="723"/>
      <c r="J62" s="726"/>
      <c r="K62" s="727"/>
      <c r="L62" s="1"/>
      <c r="M62" s="1"/>
      <c r="N62" s="1"/>
      <c r="O62" s="62"/>
      <c r="P62" s="63" t="str">
        <f t="shared" si="1"/>
        <v>Set 1 24h</v>
      </c>
      <c r="Q62" s="63" t="s">
        <v>30</v>
      </c>
      <c r="R62" s="704">
        <v>19.803927235260872</v>
      </c>
      <c r="S62" s="725"/>
      <c r="T62" s="723"/>
      <c r="U62" s="726"/>
      <c r="V62" s="727"/>
      <c r="W62" s="704"/>
      <c r="X62" s="704"/>
      <c r="Z62" s="62"/>
      <c r="AA62" s="63" t="str">
        <f t="shared" si="2"/>
        <v>Set 2 24h</v>
      </c>
      <c r="AB62" s="63" t="s">
        <v>30</v>
      </c>
      <c r="AC62" s="704">
        <v>19.919912716026325</v>
      </c>
      <c r="AD62" s="725"/>
      <c r="AE62" s="723"/>
      <c r="AF62" s="726"/>
      <c r="AG62" s="727"/>
      <c r="AI62" s="704"/>
      <c r="AK62" s="62"/>
      <c r="AL62" s="63" t="str">
        <f t="shared" si="3"/>
        <v>Set 4 24h</v>
      </c>
      <c r="AM62" s="63" t="s">
        <v>30</v>
      </c>
      <c r="AN62" s="704">
        <v>19.445232186184086</v>
      </c>
      <c r="AO62" s="725"/>
      <c r="AP62" s="723"/>
      <c r="AQ62" s="726"/>
      <c r="AR62" s="727"/>
      <c r="AT62" s="704"/>
      <c r="AV62" s="62"/>
      <c r="AW62" s="63" t="str">
        <f t="shared" si="4"/>
        <v>Set 5 24h</v>
      </c>
      <c r="AX62" s="63" t="s">
        <v>30</v>
      </c>
      <c r="AY62" s="704"/>
      <c r="AZ62" s="725"/>
      <c r="BA62" s="723"/>
      <c r="BB62" s="726"/>
      <c r="BC62" s="727"/>
      <c r="BD62" s="704"/>
      <c r="BG62" s="62"/>
      <c r="BH62" s="63" t="str">
        <f t="shared" si="5"/>
        <v>GFP 24h</v>
      </c>
      <c r="BI62" s="63" t="s">
        <v>30</v>
      </c>
      <c r="BJ62" s="704">
        <v>17.864403735899387</v>
      </c>
      <c r="BK62" s="725"/>
      <c r="BL62" s="723"/>
      <c r="BM62" s="726"/>
      <c r="BN62" s="727"/>
      <c r="BO62" s="704"/>
    </row>
    <row r="63" spans="1:67">
      <c r="A63" s="813" t="s">
        <v>11</v>
      </c>
      <c r="B63" s="813" t="str">
        <f>E63</f>
        <v>GFP</v>
      </c>
      <c r="C63" s="75"/>
      <c r="D63" s="76" t="str">
        <f t="shared" si="0"/>
        <v>WT 24h</v>
      </c>
      <c r="E63" s="76" t="s">
        <v>31</v>
      </c>
      <c r="F63" s="704"/>
      <c r="G63" s="741">
        <f>AVERAGE(F63:F65)</f>
        <v>16.943588531954774</v>
      </c>
      <c r="H63" s="742">
        <f>G63-G45</f>
        <v>-3.5279844863122314</v>
      </c>
      <c r="I63" s="742">
        <f>AVERAGE(H63:H71)</f>
        <v>-3.4483380465492885</v>
      </c>
      <c r="J63" s="744">
        <f>H63-I63</f>
        <v>-7.9646439762942833E-2</v>
      </c>
      <c r="K63" s="728">
        <f>2^-(J63)</f>
        <v>1.0567590296487801</v>
      </c>
      <c r="L63" s="1"/>
      <c r="M63" s="1"/>
      <c r="N63" s="1"/>
      <c r="O63" s="75"/>
      <c r="P63" s="76" t="str">
        <f t="shared" si="1"/>
        <v>Set 1 24h</v>
      </c>
      <c r="Q63" s="76" t="s">
        <v>31</v>
      </c>
      <c r="R63" s="704">
        <v>16.600800237895555</v>
      </c>
      <c r="S63" s="741">
        <f>AVERAGE(R63:R65)</f>
        <v>16.600800237895555</v>
      </c>
      <c r="T63" s="742">
        <f>S63-S45</f>
        <v>-2.9206730788170852</v>
      </c>
      <c r="U63" s="744">
        <f>T63-I63</f>
        <v>0.52766496773220339</v>
      </c>
      <c r="V63" s="728">
        <f>2^-(U63)</f>
        <v>0.6936765560603535</v>
      </c>
      <c r="W63" s="704"/>
      <c r="X63" s="704"/>
      <c r="Z63" s="75"/>
      <c r="AA63" s="76" t="str">
        <f t="shared" si="2"/>
        <v>Set 2 24h</v>
      </c>
      <c r="AB63" s="76" t="s">
        <v>31</v>
      </c>
      <c r="AC63" s="704">
        <v>15.922190602009032</v>
      </c>
      <c r="AD63" s="741">
        <f>AVERAGE(AC63:AC65)</f>
        <v>15.773217206084988</v>
      </c>
      <c r="AE63" s="742">
        <f>AD63-AD45</f>
        <v>-1.7563825738124752</v>
      </c>
      <c r="AF63" s="744">
        <f>AE63-I63</f>
        <v>1.6919554727368133</v>
      </c>
      <c r="AG63" s="728">
        <f>2^-(AF63)</f>
        <v>0.30950712517343493</v>
      </c>
      <c r="AI63" s="704"/>
      <c r="AK63" s="75"/>
      <c r="AL63" s="76" t="str">
        <f t="shared" si="3"/>
        <v>Set 4 24h</v>
      </c>
      <c r="AM63" s="76" t="s">
        <v>31</v>
      </c>
      <c r="AN63" s="704">
        <v>16.841050123001715</v>
      </c>
      <c r="AO63" s="741">
        <f>AVERAGE(AN63:AN65)</f>
        <v>17.183716511598039</v>
      </c>
      <c r="AP63" s="742">
        <f>AO63-AO45</f>
        <v>-3.1845900131909843</v>
      </c>
      <c r="AQ63" s="744">
        <f>AP63-I63</f>
        <v>0.26374803335830421</v>
      </c>
      <c r="AR63" s="728">
        <f>2^-(AQ63)</f>
        <v>0.83292122784334754</v>
      </c>
      <c r="AT63" s="704"/>
      <c r="AV63" s="75"/>
      <c r="AW63" s="76" t="str">
        <f t="shared" si="4"/>
        <v>Set 5 24h</v>
      </c>
      <c r="AX63" s="76" t="s">
        <v>31</v>
      </c>
      <c r="AY63" s="704"/>
      <c r="AZ63" s="741">
        <f>AVERAGE(AY63:AY65)</f>
        <v>16.070528043612832</v>
      </c>
      <c r="BA63" s="742">
        <f>AZ63-AZ45</f>
        <v>-4.2977784811761914</v>
      </c>
      <c r="BB63" s="744">
        <f>BA63-I63</f>
        <v>-0.84944043462690288</v>
      </c>
      <c r="BC63" s="728">
        <f>2^-(BB63)</f>
        <v>1.8018019406838788</v>
      </c>
      <c r="BD63" s="704"/>
      <c r="BE63" s="704"/>
      <c r="BG63" s="75"/>
      <c r="BH63" s="76" t="str">
        <f t="shared" si="5"/>
        <v>GFP 24h</v>
      </c>
      <c r="BI63" s="76" t="s">
        <v>31</v>
      </c>
      <c r="BJ63" s="704">
        <v>17.881815201972984</v>
      </c>
      <c r="BK63" s="741">
        <f>AVERAGE(BJ63:BJ65)</f>
        <v>17.753016264764923</v>
      </c>
      <c r="BL63" s="742">
        <f>BK63-BK45</f>
        <v>-0.13912975454008247</v>
      </c>
      <c r="BM63" s="744">
        <f>BL63-I63</f>
        <v>3.3092082920092061</v>
      </c>
      <c r="BN63" s="728">
        <f>2^-(BM63)</f>
        <v>0.10088556770406254</v>
      </c>
      <c r="BO63" s="704"/>
    </row>
    <row r="64" spans="1:67">
      <c r="A64" s="814"/>
      <c r="B64" s="814"/>
      <c r="C64" s="77"/>
      <c r="D64" s="78" t="str">
        <f t="shared" si="0"/>
        <v>WT 24h</v>
      </c>
      <c r="E64" s="78" t="s">
        <v>31</v>
      </c>
      <c r="F64" s="704">
        <v>16.943588531954774</v>
      </c>
      <c r="G64" s="732"/>
      <c r="H64" s="735"/>
      <c r="I64" s="735"/>
      <c r="J64" s="738"/>
      <c r="K64" s="729"/>
      <c r="L64" s="1"/>
      <c r="M64" s="1"/>
      <c r="N64" s="1"/>
      <c r="O64" s="77"/>
      <c r="P64" s="78" t="str">
        <f t="shared" si="1"/>
        <v>Set 1 24h</v>
      </c>
      <c r="Q64" s="78" t="s">
        <v>31</v>
      </c>
      <c r="R64" s="704"/>
      <c r="S64" s="732"/>
      <c r="T64" s="735"/>
      <c r="U64" s="738"/>
      <c r="V64" s="729"/>
      <c r="W64" s="704"/>
      <c r="X64" s="704"/>
      <c r="Z64" s="77"/>
      <c r="AA64" s="78" t="str">
        <f t="shared" si="2"/>
        <v>Set 2 24h</v>
      </c>
      <c r="AB64" s="78" t="s">
        <v>31</v>
      </c>
      <c r="AC64" s="704">
        <v>15.811654098248056</v>
      </c>
      <c r="AD64" s="732"/>
      <c r="AE64" s="735"/>
      <c r="AF64" s="738"/>
      <c r="AG64" s="729"/>
      <c r="AI64" s="704"/>
      <c r="AK64" s="77"/>
      <c r="AL64" s="78" t="str">
        <f t="shared" si="3"/>
        <v>Set 4 24h</v>
      </c>
      <c r="AM64" s="78" t="s">
        <v>31</v>
      </c>
      <c r="AN64" s="704">
        <v>17.676383039030512</v>
      </c>
      <c r="AO64" s="732"/>
      <c r="AP64" s="735"/>
      <c r="AQ64" s="738"/>
      <c r="AR64" s="729"/>
      <c r="AT64" s="704"/>
      <c r="AV64" s="77"/>
      <c r="AW64" s="78" t="str">
        <f t="shared" si="4"/>
        <v>Set 5 24h</v>
      </c>
      <c r="AX64" s="78" t="s">
        <v>31</v>
      </c>
      <c r="AY64" s="704"/>
      <c r="AZ64" s="732"/>
      <c r="BA64" s="735"/>
      <c r="BB64" s="738"/>
      <c r="BC64" s="729"/>
      <c r="BD64" s="704"/>
      <c r="BE64" s="704"/>
      <c r="BG64" s="77"/>
      <c r="BH64" s="78" t="str">
        <f t="shared" si="5"/>
        <v>GFP 24h</v>
      </c>
      <c r="BI64" s="78" t="s">
        <v>31</v>
      </c>
      <c r="BJ64" s="704">
        <v>17.88213440112483</v>
      </c>
      <c r="BK64" s="732"/>
      <c r="BL64" s="735"/>
      <c r="BM64" s="738"/>
      <c r="BN64" s="729"/>
      <c r="BO64" s="704"/>
    </row>
    <row r="65" spans="1:68">
      <c r="A65" s="814"/>
      <c r="B65" s="814"/>
      <c r="C65" s="80"/>
      <c r="D65" s="81" t="str">
        <f t="shared" si="0"/>
        <v>WT 24h</v>
      </c>
      <c r="E65" s="81" t="s">
        <v>31</v>
      </c>
      <c r="F65" s="704"/>
      <c r="G65" s="733"/>
      <c r="H65" s="736"/>
      <c r="I65" s="735"/>
      <c r="J65" s="739"/>
      <c r="K65" s="730"/>
      <c r="L65" s="1"/>
      <c r="M65" s="1"/>
      <c r="N65" s="1"/>
      <c r="O65" s="80"/>
      <c r="P65" s="81" t="str">
        <f t="shared" si="1"/>
        <v>Set 1 24h</v>
      </c>
      <c r="Q65" s="81" t="s">
        <v>31</v>
      </c>
      <c r="R65" s="704"/>
      <c r="S65" s="733"/>
      <c r="T65" s="736"/>
      <c r="U65" s="739"/>
      <c r="V65" s="730"/>
      <c r="W65" s="704"/>
      <c r="X65" s="704"/>
      <c r="Z65" s="80"/>
      <c r="AA65" s="81" t="str">
        <f t="shared" si="2"/>
        <v>Set 2 24h</v>
      </c>
      <c r="AB65" s="81" t="s">
        <v>31</v>
      </c>
      <c r="AC65" s="704">
        <v>15.585806917997882</v>
      </c>
      <c r="AD65" s="733"/>
      <c r="AE65" s="736"/>
      <c r="AF65" s="739"/>
      <c r="AG65" s="730"/>
      <c r="AI65" s="704"/>
      <c r="AK65" s="80"/>
      <c r="AL65" s="81" t="str">
        <f t="shared" si="3"/>
        <v>Set 4 24h</v>
      </c>
      <c r="AM65" s="81" t="s">
        <v>31</v>
      </c>
      <c r="AN65" s="704">
        <v>17.033716372761894</v>
      </c>
      <c r="AO65" s="733"/>
      <c r="AP65" s="736"/>
      <c r="AQ65" s="739"/>
      <c r="AR65" s="730"/>
      <c r="AT65" s="704"/>
      <c r="AV65" s="80"/>
      <c r="AW65" s="81" t="str">
        <f t="shared" si="4"/>
        <v>Set 5 24h</v>
      </c>
      <c r="AX65" s="81" t="s">
        <v>31</v>
      </c>
      <c r="AY65" s="704">
        <v>16.070528043612832</v>
      </c>
      <c r="AZ65" s="733"/>
      <c r="BA65" s="736"/>
      <c r="BB65" s="739"/>
      <c r="BC65" s="730"/>
      <c r="BD65" s="704"/>
      <c r="BE65" s="704"/>
      <c r="BG65" s="80"/>
      <c r="BH65" s="81" t="str">
        <f t="shared" si="5"/>
        <v>GFP 24h</v>
      </c>
      <c r="BI65" s="81" t="s">
        <v>31</v>
      </c>
      <c r="BJ65" s="704">
        <v>17.495099191196957</v>
      </c>
      <c r="BK65" s="733"/>
      <c r="BL65" s="736"/>
      <c r="BM65" s="739"/>
      <c r="BN65" s="730"/>
      <c r="BO65" s="704"/>
    </row>
    <row r="66" spans="1:68">
      <c r="A66" s="814"/>
      <c r="B66" s="814"/>
      <c r="C66" s="91"/>
      <c r="D66" s="92" t="str">
        <f t="shared" si="0"/>
        <v>WT 24h</v>
      </c>
      <c r="E66" s="92" t="s">
        <v>31</v>
      </c>
      <c r="F66" s="704">
        <v>16.977030861222111</v>
      </c>
      <c r="G66" s="731">
        <f>AVERAGE(F66:F68)</f>
        <v>17.116927661653545</v>
      </c>
      <c r="H66" s="734">
        <f>G66-G48</f>
        <v>-3.5461830143788546</v>
      </c>
      <c r="I66" s="735"/>
      <c r="J66" s="737">
        <f>H66-I63</f>
        <v>-9.7844967829566087E-2</v>
      </c>
      <c r="K66" s="740">
        <f>2^-(J66)</f>
        <v>1.0701736912628501</v>
      </c>
      <c r="L66" s="1"/>
      <c r="M66" s="1"/>
      <c r="N66" s="1"/>
      <c r="O66" s="91"/>
      <c r="P66" s="92" t="str">
        <f t="shared" si="1"/>
        <v>Set 1 24h</v>
      </c>
      <c r="Q66" s="92" t="s">
        <v>31</v>
      </c>
      <c r="R66" s="704"/>
      <c r="S66" s="731">
        <f>AVERAGE(R66:R68)</f>
        <v>16.07447110011271</v>
      </c>
      <c r="T66" s="734">
        <f>S66-S48</f>
        <v>-1.5742381548399536</v>
      </c>
      <c r="U66" s="737">
        <f>T66-I63</f>
        <v>1.874099891709335</v>
      </c>
      <c r="V66" s="740">
        <f>2^-(U66)</f>
        <v>0.27279708023362575</v>
      </c>
      <c r="W66" s="704"/>
      <c r="X66" s="704"/>
      <c r="Z66" s="91"/>
      <c r="AA66" s="92" t="str">
        <f t="shared" si="2"/>
        <v>Set 2 24h</v>
      </c>
      <c r="AB66" s="92" t="s">
        <v>31</v>
      </c>
      <c r="AC66" s="704">
        <v>16.128998746245919</v>
      </c>
      <c r="AD66" s="731">
        <f>AVERAGE(AC66:AC68)</f>
        <v>16.041095448894833</v>
      </c>
      <c r="AE66" s="734">
        <f>AD66-AD48</f>
        <v>-1.8176326061368151</v>
      </c>
      <c r="AF66" s="737">
        <f>AE66-I63</f>
        <v>1.6307054404124735</v>
      </c>
      <c r="AG66" s="740">
        <f>2^-(AF66)</f>
        <v>0.32293026453366291</v>
      </c>
      <c r="AI66" s="704"/>
      <c r="AK66" s="91"/>
      <c r="AL66" s="92" t="str">
        <f t="shared" si="3"/>
        <v>Set 4 24h</v>
      </c>
      <c r="AM66" s="92" t="s">
        <v>31</v>
      </c>
      <c r="AN66" s="704">
        <v>17.051925299446928</v>
      </c>
      <c r="AO66" s="731">
        <f>AVERAGE(AN66:AN68)</f>
        <v>17.080362200791274</v>
      </c>
      <c r="AP66" s="734">
        <f>AO66-AO48</f>
        <v>-3.2404826624301002</v>
      </c>
      <c r="AQ66" s="737">
        <f>AP66-I63</f>
        <v>0.20785538411918836</v>
      </c>
      <c r="AR66" s="740">
        <f>2^-(AQ66)</f>
        <v>0.86582335138058319</v>
      </c>
      <c r="AT66" s="704"/>
      <c r="AV66" s="91"/>
      <c r="AW66" s="92" t="str">
        <f t="shared" si="4"/>
        <v>Set 5 24h</v>
      </c>
      <c r="AX66" s="92" t="s">
        <v>31</v>
      </c>
      <c r="AY66" s="704">
        <v>17.3535680734457</v>
      </c>
      <c r="AZ66" s="731">
        <f>AVERAGE(AY66:AY68)</f>
        <v>17.3535680734457</v>
      </c>
      <c r="BA66" s="734">
        <f>AZ66-AZ48</f>
        <v>-2.9672767897756742</v>
      </c>
      <c r="BB66" s="737">
        <f>BA66-I63</f>
        <v>0.48106125677361433</v>
      </c>
      <c r="BC66" s="740">
        <f>2^-(BB66)</f>
        <v>0.71645040408527227</v>
      </c>
      <c r="BD66" s="704"/>
      <c r="BE66" s="704"/>
      <c r="BG66" s="91"/>
      <c r="BH66" s="92" t="str">
        <f t="shared" si="5"/>
        <v>GFP 24h</v>
      </c>
      <c r="BI66" s="92" t="s">
        <v>31</v>
      </c>
      <c r="BJ66" s="704">
        <v>17.104970039891363</v>
      </c>
      <c r="BK66" s="731">
        <f>AVERAGE(BJ66:BJ68)</f>
        <v>17.155893697968576</v>
      </c>
      <c r="BL66" s="734">
        <f>BK66-BK48</f>
        <v>-1.3065985039227925</v>
      </c>
      <c r="BM66" s="737">
        <f>BL66-I63</f>
        <v>2.141739542626496</v>
      </c>
      <c r="BN66" s="740">
        <f>2^-(BM66)</f>
        <v>0.22660639132566865</v>
      </c>
      <c r="BO66" s="704"/>
    </row>
    <row r="67" spans="1:68">
      <c r="A67" s="814"/>
      <c r="B67" s="814"/>
      <c r="C67" s="93"/>
      <c r="D67" s="94" t="str">
        <f t="shared" si="0"/>
        <v>WT 24h</v>
      </c>
      <c r="E67" s="94" t="s">
        <v>31</v>
      </c>
      <c r="F67" s="704">
        <v>17.030315742282202</v>
      </c>
      <c r="G67" s="732"/>
      <c r="H67" s="735"/>
      <c r="I67" s="735"/>
      <c r="J67" s="738"/>
      <c r="K67" s="729"/>
      <c r="L67" s="1"/>
      <c r="M67" s="1"/>
      <c r="N67" s="1"/>
      <c r="O67" s="93"/>
      <c r="P67" s="94" t="str">
        <f t="shared" si="1"/>
        <v>Set 1 24h</v>
      </c>
      <c r="Q67" s="94" t="s">
        <v>31</v>
      </c>
      <c r="R67" s="704"/>
      <c r="S67" s="732"/>
      <c r="T67" s="735"/>
      <c r="U67" s="738"/>
      <c r="V67" s="729"/>
      <c r="W67" s="704"/>
      <c r="X67" s="704"/>
      <c r="Z67" s="93"/>
      <c r="AA67" s="94" t="str">
        <f t="shared" si="2"/>
        <v>Set 2 24h</v>
      </c>
      <c r="AB67" s="94" t="s">
        <v>31</v>
      </c>
      <c r="AC67" s="704">
        <v>16.086531621692252</v>
      </c>
      <c r="AD67" s="732"/>
      <c r="AE67" s="735"/>
      <c r="AF67" s="738"/>
      <c r="AG67" s="729"/>
      <c r="AI67" s="704"/>
      <c r="AK67" s="93"/>
      <c r="AL67" s="94" t="str">
        <f t="shared" si="3"/>
        <v>Set 4 24h</v>
      </c>
      <c r="AM67" s="94" t="s">
        <v>31</v>
      </c>
      <c r="AN67" s="704">
        <v>17.062129929325359</v>
      </c>
      <c r="AO67" s="732"/>
      <c r="AP67" s="735"/>
      <c r="AQ67" s="738"/>
      <c r="AR67" s="729"/>
      <c r="AT67" s="704"/>
      <c r="AV67" s="93"/>
      <c r="AW67" s="94" t="str">
        <f t="shared" si="4"/>
        <v>Set 5 24h</v>
      </c>
      <c r="AX67" s="94" t="s">
        <v>31</v>
      </c>
      <c r="AY67" s="704"/>
      <c r="AZ67" s="732"/>
      <c r="BA67" s="735"/>
      <c r="BB67" s="738"/>
      <c r="BC67" s="729"/>
      <c r="BD67" s="704"/>
      <c r="BE67" s="704"/>
      <c r="BG67" s="93"/>
      <c r="BH67" s="94" t="str">
        <f t="shared" si="5"/>
        <v>GFP 24h</v>
      </c>
      <c r="BI67" s="94" t="s">
        <v>31</v>
      </c>
      <c r="BJ67" s="704">
        <v>17.341916412946269</v>
      </c>
      <c r="BK67" s="732"/>
      <c r="BL67" s="735"/>
      <c r="BM67" s="738"/>
      <c r="BN67" s="729"/>
      <c r="BO67" s="704"/>
    </row>
    <row r="68" spans="1:68">
      <c r="A68" s="814"/>
      <c r="B68" s="814"/>
      <c r="C68" s="96"/>
      <c r="D68" s="97" t="str">
        <f t="shared" si="0"/>
        <v>WT 24h</v>
      </c>
      <c r="E68" s="97" t="s">
        <v>31</v>
      </c>
      <c r="F68" s="704">
        <v>17.343436381456314</v>
      </c>
      <c r="G68" s="733"/>
      <c r="H68" s="736"/>
      <c r="I68" s="735"/>
      <c r="J68" s="739"/>
      <c r="K68" s="730"/>
      <c r="L68" s="1"/>
      <c r="M68" s="1"/>
      <c r="N68" s="1"/>
      <c r="O68" s="96"/>
      <c r="P68" s="97" t="str">
        <f t="shared" si="1"/>
        <v>Set 1 24h</v>
      </c>
      <c r="Q68" s="97" t="s">
        <v>31</v>
      </c>
      <c r="R68" s="704">
        <v>16.07447110011271</v>
      </c>
      <c r="S68" s="733"/>
      <c r="T68" s="736"/>
      <c r="U68" s="739"/>
      <c r="V68" s="730"/>
      <c r="W68" s="704"/>
      <c r="X68" s="704"/>
      <c r="Z68" s="96"/>
      <c r="AA68" s="97" t="str">
        <f t="shared" si="2"/>
        <v>Set 2 24h</v>
      </c>
      <c r="AB68" s="97" t="s">
        <v>31</v>
      </c>
      <c r="AC68" s="704">
        <v>15.907755978746323</v>
      </c>
      <c r="AD68" s="733"/>
      <c r="AE68" s="736"/>
      <c r="AF68" s="739"/>
      <c r="AG68" s="730"/>
      <c r="AI68" s="704"/>
      <c r="AK68" s="96"/>
      <c r="AL68" s="97" t="str">
        <f t="shared" si="3"/>
        <v>Set 4 24h</v>
      </c>
      <c r="AM68" s="97" t="s">
        <v>31</v>
      </c>
      <c r="AN68" s="704">
        <v>17.127031373601532</v>
      </c>
      <c r="AO68" s="733"/>
      <c r="AP68" s="736"/>
      <c r="AQ68" s="739"/>
      <c r="AR68" s="730"/>
      <c r="AT68" s="704"/>
      <c r="AV68" s="96"/>
      <c r="AW68" s="97" t="str">
        <f t="shared" si="4"/>
        <v>Set 5 24h</v>
      </c>
      <c r="AX68" s="97" t="s">
        <v>31</v>
      </c>
      <c r="AY68" s="704"/>
      <c r="AZ68" s="733"/>
      <c r="BA68" s="736"/>
      <c r="BB68" s="739"/>
      <c r="BC68" s="730"/>
      <c r="BD68" s="704"/>
      <c r="BE68" s="704"/>
      <c r="BG68" s="96"/>
      <c r="BH68" s="97" t="str">
        <f t="shared" si="5"/>
        <v>GFP 24h</v>
      </c>
      <c r="BI68" s="97" t="s">
        <v>31</v>
      </c>
      <c r="BJ68" s="704">
        <v>17.020794641068093</v>
      </c>
      <c r="BK68" s="733"/>
      <c r="BL68" s="736"/>
      <c r="BM68" s="739"/>
      <c r="BN68" s="730"/>
      <c r="BO68" s="704"/>
      <c r="BP68" s="704"/>
    </row>
    <row r="69" spans="1:68">
      <c r="A69" s="814"/>
      <c r="B69" s="814"/>
      <c r="C69" s="83"/>
      <c r="D69" s="84" t="str">
        <f t="shared" si="0"/>
        <v>WT 24h</v>
      </c>
      <c r="E69" s="84" t="s">
        <v>31</v>
      </c>
      <c r="F69" s="704">
        <v>17.335388159856862</v>
      </c>
      <c r="G69" s="732">
        <f>AVERAGE(F69:F71)</f>
        <v>17.335388159856862</v>
      </c>
      <c r="H69" s="735">
        <f>G69-G51</f>
        <v>-3.2708466389567796</v>
      </c>
      <c r="I69" s="735"/>
      <c r="J69" s="738">
        <f>H69-I63</f>
        <v>0.17749140759250892</v>
      </c>
      <c r="K69" s="729">
        <f>2^-(J69)</f>
        <v>0.88423919643229809</v>
      </c>
      <c r="L69" s="1"/>
      <c r="M69" s="1"/>
      <c r="N69" s="1"/>
      <c r="O69" s="83"/>
      <c r="P69" s="84" t="str">
        <f t="shared" si="1"/>
        <v>Set 1 24h</v>
      </c>
      <c r="Q69" s="84" t="s">
        <v>31</v>
      </c>
      <c r="R69" s="704"/>
      <c r="S69" s="732">
        <f>AVERAGE(R69:R71)</f>
        <v>17.143926897862556</v>
      </c>
      <c r="T69" s="735">
        <f>S69-S51</f>
        <v>-2.0978902657535663</v>
      </c>
      <c r="U69" s="738">
        <f>T69-I63</f>
        <v>1.3504477807957223</v>
      </c>
      <c r="V69" s="729">
        <f>2^-(U69)</f>
        <v>0.39217030902202554</v>
      </c>
      <c r="W69" s="704"/>
      <c r="X69" s="704"/>
      <c r="Z69" s="83"/>
      <c r="AA69" s="84" t="str">
        <f t="shared" si="2"/>
        <v>Set 2 24h</v>
      </c>
      <c r="AB69" s="84" t="s">
        <v>31</v>
      </c>
      <c r="AC69" s="704">
        <v>17.518759251853076</v>
      </c>
      <c r="AD69" s="732">
        <f>AVERAGE(AC69:AC71)</f>
        <v>17.51146441952395</v>
      </c>
      <c r="AE69" s="735">
        <f>AD69-AD51</f>
        <v>-1.7522901789028147</v>
      </c>
      <c r="AF69" s="738">
        <f>AE69-I63</f>
        <v>1.6960478676464739</v>
      </c>
      <c r="AG69" s="729">
        <f>2^-(AF69)</f>
        <v>0.30863041140502617</v>
      </c>
      <c r="AI69" s="704"/>
      <c r="AK69" s="83"/>
      <c r="AL69" s="84" t="str">
        <f t="shared" si="3"/>
        <v>Set 4 24h</v>
      </c>
      <c r="AM69" s="84" t="s">
        <v>31</v>
      </c>
      <c r="AN69" s="704">
        <v>16.316158228269089</v>
      </c>
      <c r="AO69" s="732">
        <f>AVERAGE(AN69:AN71)</f>
        <v>16.183706564387236</v>
      </c>
      <c r="AP69" s="735">
        <f>AO69-AO51</f>
        <v>-3.0540516446108903</v>
      </c>
      <c r="AQ69" s="738">
        <f>AP69-I63</f>
        <v>0.39428640193839826</v>
      </c>
      <c r="AR69" s="729">
        <f>2^-(AQ69)</f>
        <v>0.76086562937329794</v>
      </c>
      <c r="AT69" s="704"/>
      <c r="AV69" s="83"/>
      <c r="AW69" s="84" t="str">
        <f t="shared" si="4"/>
        <v>Set 5 24h</v>
      </c>
      <c r="AX69" s="84" t="s">
        <v>31</v>
      </c>
      <c r="AY69" s="704"/>
      <c r="AZ69" s="732">
        <f>AVERAGE(AY69:AY71)</f>
        <v>16.596312043410322</v>
      </c>
      <c r="BA69" s="735">
        <f>AZ69-AZ51</f>
        <v>-2.641446165587805</v>
      </c>
      <c r="BB69" s="738">
        <f>BA69-I63</f>
        <v>0.80689188096148357</v>
      </c>
      <c r="BC69" s="729">
        <f>2^-(BB69)</f>
        <v>0.57161200408115909</v>
      </c>
      <c r="BD69" s="704"/>
      <c r="BE69" s="704"/>
      <c r="BG69" s="83"/>
      <c r="BH69" s="84" t="str">
        <f t="shared" si="5"/>
        <v>GFP 24h</v>
      </c>
      <c r="BI69" s="84" t="s">
        <v>31</v>
      </c>
      <c r="BJ69" s="704">
        <v>17.680240096215869</v>
      </c>
      <c r="BK69" s="732">
        <f>AVERAGE(BJ69:BJ71)</f>
        <v>17.653168923147188</v>
      </c>
      <c r="BL69" s="735">
        <f>BK69-BK51</f>
        <v>-0.91745273049809839</v>
      </c>
      <c r="BM69" s="738">
        <f>BL69-I63</f>
        <v>2.5308853160511902</v>
      </c>
      <c r="BN69" s="729">
        <f>2^-(BM69)</f>
        <v>0.17303246880483028</v>
      </c>
      <c r="BO69" s="704"/>
      <c r="BP69" s="704"/>
    </row>
    <row r="70" spans="1:68">
      <c r="A70" s="814"/>
      <c r="B70" s="814"/>
      <c r="C70" s="77"/>
      <c r="D70" s="78" t="str">
        <f t="shared" si="0"/>
        <v>WT 24h</v>
      </c>
      <c r="E70" s="78" t="s">
        <v>31</v>
      </c>
      <c r="F70" s="704"/>
      <c r="G70" s="732"/>
      <c r="H70" s="735"/>
      <c r="I70" s="735"/>
      <c r="J70" s="738"/>
      <c r="K70" s="729"/>
      <c r="L70" s="1"/>
      <c r="M70" s="1"/>
      <c r="N70" s="1"/>
      <c r="O70" s="77"/>
      <c r="P70" s="78" t="str">
        <f t="shared" si="1"/>
        <v>Set 1 24h</v>
      </c>
      <c r="Q70" s="78" t="s">
        <v>31</v>
      </c>
      <c r="R70" s="704">
        <v>17.143926897862556</v>
      </c>
      <c r="S70" s="732"/>
      <c r="T70" s="735"/>
      <c r="U70" s="738"/>
      <c r="V70" s="729"/>
      <c r="W70" s="704"/>
      <c r="X70" s="704"/>
      <c r="Z70" s="77"/>
      <c r="AA70" s="78" t="str">
        <f t="shared" si="2"/>
        <v>Set 2 24h</v>
      </c>
      <c r="AB70" s="78" t="s">
        <v>31</v>
      </c>
      <c r="AC70" s="704">
        <v>17.499383846288985</v>
      </c>
      <c r="AD70" s="732"/>
      <c r="AE70" s="735"/>
      <c r="AF70" s="738"/>
      <c r="AG70" s="729"/>
      <c r="AI70" s="704"/>
      <c r="AK70" s="77"/>
      <c r="AL70" s="78" t="str">
        <f t="shared" si="3"/>
        <v>Set 4 24h</v>
      </c>
      <c r="AM70" s="78" t="s">
        <v>31</v>
      </c>
      <c r="AN70" s="704">
        <v>16.177652586889238</v>
      </c>
      <c r="AO70" s="732"/>
      <c r="AP70" s="735"/>
      <c r="AQ70" s="738"/>
      <c r="AR70" s="729"/>
      <c r="AT70" s="704"/>
      <c r="AV70" s="77"/>
      <c r="AW70" s="78" t="str">
        <f t="shared" si="4"/>
        <v>Set 5 24h</v>
      </c>
      <c r="AX70" s="78" t="s">
        <v>31</v>
      </c>
      <c r="AY70" s="704"/>
      <c r="AZ70" s="732"/>
      <c r="BA70" s="735"/>
      <c r="BB70" s="738"/>
      <c r="BC70" s="729"/>
      <c r="BD70" s="704"/>
      <c r="BE70" s="704"/>
      <c r="BG70" s="77"/>
      <c r="BH70" s="78" t="str">
        <f t="shared" si="5"/>
        <v>GFP 24h</v>
      </c>
      <c r="BI70" s="78" t="s">
        <v>31</v>
      </c>
      <c r="BJ70" s="704">
        <v>17.747487235267052</v>
      </c>
      <c r="BK70" s="732"/>
      <c r="BL70" s="735"/>
      <c r="BM70" s="738"/>
      <c r="BN70" s="729"/>
      <c r="BO70" s="704"/>
      <c r="BP70" s="704"/>
    </row>
    <row r="71" spans="1:68" ht="16.2" thickBot="1">
      <c r="A71" s="815"/>
      <c r="B71" s="815"/>
      <c r="C71" s="85"/>
      <c r="D71" s="86" t="str">
        <f t="shared" si="0"/>
        <v>WT 24h</v>
      </c>
      <c r="E71" s="86" t="s">
        <v>31</v>
      </c>
      <c r="F71" s="704"/>
      <c r="G71" s="745"/>
      <c r="H71" s="743"/>
      <c r="I71" s="743"/>
      <c r="J71" s="746"/>
      <c r="K71" s="747"/>
      <c r="L71" s="1"/>
      <c r="M71" s="1"/>
      <c r="N71" s="1"/>
      <c r="O71" s="85"/>
      <c r="P71" s="86" t="str">
        <f t="shared" si="1"/>
        <v>Set 1 24h</v>
      </c>
      <c r="Q71" s="86" t="s">
        <v>31</v>
      </c>
      <c r="R71" s="704"/>
      <c r="S71" s="745"/>
      <c r="T71" s="743"/>
      <c r="U71" s="746"/>
      <c r="V71" s="747"/>
      <c r="W71" s="704"/>
      <c r="Z71" s="85"/>
      <c r="AA71" s="86" t="str">
        <f t="shared" si="2"/>
        <v>Set 2 24h</v>
      </c>
      <c r="AB71" s="86" t="s">
        <v>31</v>
      </c>
      <c r="AC71" s="704">
        <v>17.516250160429792</v>
      </c>
      <c r="AD71" s="745"/>
      <c r="AE71" s="743"/>
      <c r="AF71" s="746"/>
      <c r="AG71" s="747"/>
      <c r="AI71" s="704"/>
      <c r="AK71" s="85"/>
      <c r="AL71" s="86" t="str">
        <f t="shared" si="3"/>
        <v>Set 4 24h</v>
      </c>
      <c r="AM71" s="86" t="s">
        <v>31</v>
      </c>
      <c r="AN71" s="704">
        <v>16.057308878003383</v>
      </c>
      <c r="AO71" s="745"/>
      <c r="AP71" s="743"/>
      <c r="AQ71" s="746"/>
      <c r="AR71" s="747"/>
      <c r="AT71" s="704"/>
      <c r="AV71" s="85"/>
      <c r="AW71" s="86" t="str">
        <f t="shared" si="4"/>
        <v>Set 5 24h</v>
      </c>
      <c r="AX71" s="86" t="s">
        <v>31</v>
      </c>
      <c r="AY71" s="704">
        <v>16.596312043410322</v>
      </c>
      <c r="AZ71" s="745"/>
      <c r="BA71" s="743"/>
      <c r="BB71" s="746"/>
      <c r="BC71" s="747"/>
      <c r="BD71" s="704"/>
      <c r="BE71" s="704"/>
      <c r="BG71" s="85"/>
      <c r="BH71" s="86" t="str">
        <f t="shared" si="5"/>
        <v>GFP 24h</v>
      </c>
      <c r="BI71" s="86" t="s">
        <v>31</v>
      </c>
      <c r="BJ71" s="704">
        <v>17.531779437958647</v>
      </c>
      <c r="BK71" s="745"/>
      <c r="BL71" s="743"/>
      <c r="BM71" s="746"/>
      <c r="BN71" s="747"/>
      <c r="BO71" s="704"/>
      <c r="BP71" s="704"/>
    </row>
    <row r="72" spans="1:68">
      <c r="A72" s="816" t="s">
        <v>12</v>
      </c>
      <c r="B72" s="816" t="str">
        <f>E72</f>
        <v>RIG1</v>
      </c>
      <c r="C72" s="425"/>
      <c r="D72" s="426" t="str">
        <f t="shared" si="0"/>
        <v>WT 24h</v>
      </c>
      <c r="E72" s="426" t="s">
        <v>32</v>
      </c>
      <c r="F72" s="704">
        <v>23.476036525142462</v>
      </c>
      <c r="G72" s="769">
        <f>AVERAGE(F72:F74)</f>
        <v>23.163157790588798</v>
      </c>
      <c r="H72" s="770">
        <f>G72-G45</f>
        <v>2.6915847723217929</v>
      </c>
      <c r="I72" s="770">
        <f>AVERAGE(H72:H80)</f>
        <v>2.6314181872532707</v>
      </c>
      <c r="J72" s="771">
        <f>H72-I72</f>
        <v>6.0166585068522238E-2</v>
      </c>
      <c r="K72" s="748">
        <f>2^-(J72)</f>
        <v>0.95915336143878294</v>
      </c>
      <c r="L72" s="427"/>
      <c r="M72" s="427"/>
      <c r="N72" s="427"/>
      <c r="O72" s="425"/>
      <c r="P72" s="426" t="str">
        <f t="shared" si="1"/>
        <v>Set 1 24h</v>
      </c>
      <c r="Q72" s="426" t="s">
        <v>32</v>
      </c>
      <c r="R72" s="704">
        <v>24.460534186027552</v>
      </c>
      <c r="S72" s="769">
        <f>AVERAGE(R72:R74)</f>
        <v>24.687105580803859</v>
      </c>
      <c r="T72" s="770">
        <f>S72-S45</f>
        <v>5.1656322640912187</v>
      </c>
      <c r="U72" s="771">
        <f>T72-I72</f>
        <v>2.534214076837948</v>
      </c>
      <c r="V72" s="748">
        <f>2^-(U72)</f>
        <v>0.17263368756432385</v>
      </c>
      <c r="W72" s="704"/>
      <c r="X72" s="428"/>
      <c r="Y72" s="428"/>
      <c r="Z72" s="425"/>
      <c r="AA72" s="426" t="str">
        <f t="shared" si="2"/>
        <v>Set 2 24h</v>
      </c>
      <c r="AB72" s="426" t="s">
        <v>32</v>
      </c>
      <c r="AC72" s="704">
        <v>22.166063226707706</v>
      </c>
      <c r="AD72" s="769">
        <f>AVERAGE(AC72:AC74)</f>
        <v>22.456961884407246</v>
      </c>
      <c r="AE72" s="770">
        <f>AD72-AD45</f>
        <v>4.9273621045097826</v>
      </c>
      <c r="AF72" s="771">
        <f>AE72-I72</f>
        <v>2.2959439172565119</v>
      </c>
      <c r="AG72" s="748">
        <f>2^-(AF72)</f>
        <v>0.203634806630802</v>
      </c>
      <c r="AH72" s="428"/>
      <c r="AI72" s="704"/>
      <c r="AJ72" s="428"/>
      <c r="AK72" s="425"/>
      <c r="AL72" s="426" t="str">
        <f t="shared" si="3"/>
        <v>Set 4 24h</v>
      </c>
      <c r="AM72" s="426" t="s">
        <v>32</v>
      </c>
      <c r="AN72" s="704">
        <v>25.472785937890357</v>
      </c>
      <c r="AO72" s="769">
        <f>AVERAGE(AN72:AN74)</f>
        <v>25.678378367940315</v>
      </c>
      <c r="AP72" s="770">
        <f>AO72-AO45</f>
        <v>5.3100718431512917</v>
      </c>
      <c r="AQ72" s="771">
        <f>AP72-I72</f>
        <v>2.678653655898021</v>
      </c>
      <c r="AR72" s="748">
        <f>2^-(AQ72)</f>
        <v>0.15618700662081381</v>
      </c>
      <c r="AS72" s="428"/>
      <c r="AT72" s="704"/>
      <c r="AU72" s="428"/>
      <c r="AV72" s="425"/>
      <c r="AW72" s="426" t="str">
        <f t="shared" si="4"/>
        <v>Set 5 24h</v>
      </c>
      <c r="AX72" s="426" t="s">
        <v>32</v>
      </c>
      <c r="AY72" s="704"/>
      <c r="AZ72" s="769">
        <f>AVERAGE(AY72:AY74)</f>
        <v>23.872663503788537</v>
      </c>
      <c r="BA72" s="770">
        <f>AZ72-AZ45</f>
        <v>3.5043569789995139</v>
      </c>
      <c r="BB72" s="771">
        <f>BA72-I72</f>
        <v>0.87293879174624323</v>
      </c>
      <c r="BC72" s="748">
        <f>2^-(BB72)</f>
        <v>0.54603343857545172</v>
      </c>
      <c r="BD72" s="704"/>
      <c r="BE72" s="704"/>
      <c r="BF72" s="428"/>
      <c r="BG72" s="425"/>
      <c r="BH72" s="426" t="str">
        <f t="shared" si="5"/>
        <v>GFP 24h</v>
      </c>
      <c r="BI72" s="426" t="s">
        <v>32</v>
      </c>
      <c r="BJ72" s="704">
        <v>18.612326663442055</v>
      </c>
      <c r="BK72" s="769">
        <f>AVERAGE(BJ72:BJ74)</f>
        <v>20.316361789589468</v>
      </c>
      <c r="BL72" s="770">
        <f>BK72-BK45</f>
        <v>2.4242157702844622</v>
      </c>
      <c r="BM72" s="771">
        <f>BL72-I72</f>
        <v>-0.20720241696880848</v>
      </c>
      <c r="BN72" s="748">
        <f>2^-(BM72)</f>
        <v>1.1544473806070179</v>
      </c>
      <c r="BO72" s="704"/>
      <c r="BP72" s="704"/>
    </row>
    <row r="73" spans="1:68">
      <c r="A73" s="817"/>
      <c r="B73" s="817"/>
      <c r="C73" s="429"/>
      <c r="D73" s="430" t="str">
        <f t="shared" si="0"/>
        <v>WT 24h</v>
      </c>
      <c r="E73" s="430" t="s">
        <v>33</v>
      </c>
      <c r="F73" s="704">
        <v>22.869573064947296</v>
      </c>
      <c r="G73" s="752"/>
      <c r="H73" s="755"/>
      <c r="I73" s="755"/>
      <c r="J73" s="758"/>
      <c r="K73" s="749"/>
      <c r="L73" s="427"/>
      <c r="M73" s="427"/>
      <c r="N73" s="427"/>
      <c r="O73" s="429"/>
      <c r="P73" s="430" t="str">
        <f t="shared" si="1"/>
        <v>Set 1 24h</v>
      </c>
      <c r="Q73" s="430" t="s">
        <v>33</v>
      </c>
      <c r="R73" s="704">
        <v>24.813533216467938</v>
      </c>
      <c r="S73" s="752"/>
      <c r="T73" s="755"/>
      <c r="U73" s="758"/>
      <c r="V73" s="749"/>
      <c r="W73" s="704"/>
      <c r="X73" s="428"/>
      <c r="Y73" s="428"/>
      <c r="Z73" s="429"/>
      <c r="AA73" s="430" t="str">
        <f t="shared" si="2"/>
        <v>Set 2 24h</v>
      </c>
      <c r="AB73" s="430" t="s">
        <v>33</v>
      </c>
      <c r="AC73" s="704">
        <v>22.59461256043766</v>
      </c>
      <c r="AD73" s="752"/>
      <c r="AE73" s="755"/>
      <c r="AF73" s="758"/>
      <c r="AG73" s="749"/>
      <c r="AH73" s="428"/>
      <c r="AI73" s="704"/>
      <c r="AJ73" s="428"/>
      <c r="AK73" s="429"/>
      <c r="AL73" s="430" t="str">
        <f t="shared" si="3"/>
        <v>Set 4 24h</v>
      </c>
      <c r="AM73" s="430" t="s">
        <v>33</v>
      </c>
      <c r="AN73" s="704">
        <v>25.410769687865695</v>
      </c>
      <c r="AO73" s="752"/>
      <c r="AP73" s="755"/>
      <c r="AQ73" s="758"/>
      <c r="AR73" s="749"/>
      <c r="AS73" s="428"/>
      <c r="AT73" s="704"/>
      <c r="AU73" s="428"/>
      <c r="AV73" s="429"/>
      <c r="AW73" s="430" t="str">
        <f t="shared" si="4"/>
        <v>Set 5 24h</v>
      </c>
      <c r="AX73" s="430" t="s">
        <v>33</v>
      </c>
      <c r="AY73" s="704">
        <v>23.872663503788537</v>
      </c>
      <c r="AZ73" s="752"/>
      <c r="BA73" s="755"/>
      <c r="BB73" s="758"/>
      <c r="BC73" s="749"/>
      <c r="BD73" s="704"/>
      <c r="BE73" s="704"/>
      <c r="BF73" s="428"/>
      <c r="BG73" s="429"/>
      <c r="BH73" s="430" t="str">
        <f t="shared" si="5"/>
        <v>GFP 24h</v>
      </c>
      <c r="BI73" s="430" t="s">
        <v>33</v>
      </c>
      <c r="BJ73" s="704">
        <v>20.891992100119822</v>
      </c>
      <c r="BK73" s="752"/>
      <c r="BL73" s="755"/>
      <c r="BM73" s="758"/>
      <c r="BN73" s="749"/>
      <c r="BO73" s="704"/>
      <c r="BP73" s="704"/>
    </row>
    <row r="74" spans="1:68">
      <c r="A74" s="817"/>
      <c r="B74" s="817"/>
      <c r="C74" s="432"/>
      <c r="D74" s="433" t="str">
        <f t="shared" si="0"/>
        <v>WT 24h</v>
      </c>
      <c r="E74" s="433" t="s">
        <v>32</v>
      </c>
      <c r="F74" s="704">
        <v>23.143863781676629</v>
      </c>
      <c r="G74" s="753"/>
      <c r="H74" s="756"/>
      <c r="I74" s="755"/>
      <c r="J74" s="759"/>
      <c r="K74" s="761"/>
      <c r="L74" s="427"/>
      <c r="M74" s="427"/>
      <c r="N74" s="427"/>
      <c r="O74" s="432"/>
      <c r="P74" s="433" t="str">
        <f t="shared" si="1"/>
        <v>Set 1 24h</v>
      </c>
      <c r="Q74" s="433" t="s">
        <v>32</v>
      </c>
      <c r="R74" s="704">
        <v>24.787249339916094</v>
      </c>
      <c r="S74" s="763"/>
      <c r="T74" s="765"/>
      <c r="U74" s="767"/>
      <c r="V74" s="750"/>
      <c r="W74" s="704"/>
      <c r="X74" s="428"/>
      <c r="Y74" s="428"/>
      <c r="Z74" s="432"/>
      <c r="AA74" s="433" t="str">
        <f t="shared" si="2"/>
        <v>Set 2 24h</v>
      </c>
      <c r="AB74" s="433" t="s">
        <v>32</v>
      </c>
      <c r="AC74" s="704">
        <v>22.610209866076374</v>
      </c>
      <c r="AD74" s="763"/>
      <c r="AE74" s="765"/>
      <c r="AF74" s="767"/>
      <c r="AG74" s="750"/>
      <c r="AH74" s="428"/>
      <c r="AI74" s="704"/>
      <c r="AJ74" s="428"/>
      <c r="AK74" s="432"/>
      <c r="AL74" s="433" t="str">
        <f t="shared" si="3"/>
        <v>Set 4 24h</v>
      </c>
      <c r="AM74" s="433" t="s">
        <v>32</v>
      </c>
      <c r="AN74" s="704">
        <v>26.151579478064889</v>
      </c>
      <c r="AO74" s="763"/>
      <c r="AP74" s="765"/>
      <c r="AQ74" s="767"/>
      <c r="AR74" s="750"/>
      <c r="AS74" s="428"/>
      <c r="AT74" s="704"/>
      <c r="AU74" s="428"/>
      <c r="AV74" s="432"/>
      <c r="AW74" s="433" t="str">
        <f t="shared" si="4"/>
        <v>Set 5 24h</v>
      </c>
      <c r="AX74" s="433" t="s">
        <v>32</v>
      </c>
      <c r="AY74" s="704"/>
      <c r="AZ74" s="763"/>
      <c r="BA74" s="765"/>
      <c r="BB74" s="767"/>
      <c r="BC74" s="750"/>
      <c r="BD74" s="704"/>
      <c r="BE74" s="704"/>
      <c r="BF74" s="428"/>
      <c r="BG74" s="432"/>
      <c r="BH74" s="433" t="str">
        <f t="shared" si="5"/>
        <v>GFP 24h</v>
      </c>
      <c r="BI74" s="433" t="s">
        <v>32</v>
      </c>
      <c r="BJ74" s="704">
        <v>21.444766605206532</v>
      </c>
      <c r="BK74" s="763"/>
      <c r="BL74" s="765"/>
      <c r="BM74" s="767"/>
      <c r="BN74" s="750"/>
      <c r="BO74" s="704"/>
      <c r="BP74" s="704"/>
    </row>
    <row r="75" spans="1:68">
      <c r="A75" s="817"/>
      <c r="B75" s="817"/>
      <c r="C75" s="435"/>
      <c r="D75" s="436" t="str">
        <f t="shared" si="0"/>
        <v>WT 24h</v>
      </c>
      <c r="E75" s="436" t="s">
        <v>32</v>
      </c>
      <c r="F75" s="704">
        <v>22.517453635260445</v>
      </c>
      <c r="G75" s="751">
        <f>AVERAGE(F75:F77)</f>
        <v>23.159823250743301</v>
      </c>
      <c r="H75" s="754">
        <f>G75-G48</f>
        <v>2.4967125747109016</v>
      </c>
      <c r="I75" s="755"/>
      <c r="J75" s="757">
        <f>H75-I72</f>
        <v>-0.13470561254236912</v>
      </c>
      <c r="K75" s="760">
        <f>2^-(J75)</f>
        <v>1.097868766595461</v>
      </c>
      <c r="L75" s="427"/>
      <c r="M75" s="427"/>
      <c r="N75" s="427"/>
      <c r="O75" s="435"/>
      <c r="P75" s="436" t="str">
        <f t="shared" si="1"/>
        <v>Set 1 24h</v>
      </c>
      <c r="Q75" s="436" t="s">
        <v>32</v>
      </c>
      <c r="R75" s="704">
        <v>23.405030986419888</v>
      </c>
      <c r="S75" s="762">
        <f>AVERAGE(R75:R77)</f>
        <v>23.058127234522534</v>
      </c>
      <c r="T75" s="764">
        <f>S75-S48</f>
        <v>5.40941797956987</v>
      </c>
      <c r="U75" s="766">
        <f>T75-I72</f>
        <v>2.7779997923165993</v>
      </c>
      <c r="V75" s="768">
        <f>2^-(U75)</f>
        <v>0.14579369221131175</v>
      </c>
      <c r="W75" s="704"/>
      <c r="X75" s="428"/>
      <c r="Y75" s="428"/>
      <c r="Z75" s="435"/>
      <c r="AA75" s="436" t="str">
        <f t="shared" si="2"/>
        <v>Set 2 24h</v>
      </c>
      <c r="AB75" s="436" t="s">
        <v>32</v>
      </c>
      <c r="AC75" s="704">
        <v>23.192043247030803</v>
      </c>
      <c r="AD75" s="762">
        <f>AVERAGE(AC75:AC77)</f>
        <v>22.837375976301271</v>
      </c>
      <c r="AE75" s="764">
        <f>AD75-AD48</f>
        <v>4.9786479212696229</v>
      </c>
      <c r="AF75" s="766">
        <f>AE75-I72</f>
        <v>2.3472297340163522</v>
      </c>
      <c r="AG75" s="768">
        <f>2^-(AF75)</f>
        <v>0.19652302631767085</v>
      </c>
      <c r="AH75" s="428"/>
      <c r="AI75" s="704"/>
      <c r="AJ75" s="428"/>
      <c r="AK75" s="435"/>
      <c r="AL75" s="436" t="str">
        <f t="shared" si="3"/>
        <v>Set 4 24h</v>
      </c>
      <c r="AM75" s="436" t="s">
        <v>32</v>
      </c>
      <c r="AN75" s="704">
        <v>25.275397442054029</v>
      </c>
      <c r="AO75" s="762">
        <f>AVERAGE(AN75:AN77)</f>
        <v>25.101687661432084</v>
      </c>
      <c r="AP75" s="764">
        <f>AO75-AO48</f>
        <v>4.7808427982107098</v>
      </c>
      <c r="AQ75" s="766">
        <f>AP75-I72</f>
        <v>2.1494246109574391</v>
      </c>
      <c r="AR75" s="768">
        <f>2^-(AQ75)</f>
        <v>0.22540249484585298</v>
      </c>
      <c r="AS75" s="428"/>
      <c r="AT75" s="704"/>
      <c r="AU75" s="428"/>
      <c r="AV75" s="435"/>
      <c r="AW75" s="436" t="str">
        <f t="shared" si="4"/>
        <v>Set 5 24h</v>
      </c>
      <c r="AX75" s="436" t="s">
        <v>32</v>
      </c>
      <c r="AY75" s="704"/>
      <c r="AZ75" s="762">
        <f>AVERAGE(AY75:AY77)</f>
        <v>25.16487776518936</v>
      </c>
      <c r="BA75" s="764">
        <f>AZ75-AZ48</f>
        <v>4.8440329019679851</v>
      </c>
      <c r="BB75" s="766">
        <f>BA75-I72</f>
        <v>2.2126147147147144</v>
      </c>
      <c r="BC75" s="768">
        <f>2^-(BB75)</f>
        <v>0.21574294462620933</v>
      </c>
      <c r="BD75" s="704"/>
      <c r="BE75" s="704"/>
      <c r="BF75" s="428"/>
      <c r="BG75" s="435"/>
      <c r="BH75" s="436" t="str">
        <f t="shared" si="5"/>
        <v>GFP 24h</v>
      </c>
      <c r="BI75" s="436" t="s">
        <v>32</v>
      </c>
      <c r="BJ75" s="704">
        <v>21.342363318034558</v>
      </c>
      <c r="BK75" s="762">
        <f>AVERAGE(BJ75:BJ77)</f>
        <v>20.844305713791773</v>
      </c>
      <c r="BL75" s="764">
        <f>BK75-BK48</f>
        <v>2.381813511900404</v>
      </c>
      <c r="BM75" s="766">
        <f>BL75-I72</f>
        <v>-0.24960467535286668</v>
      </c>
      <c r="BN75" s="768">
        <f>2^-(BM75)</f>
        <v>1.1888812952940768</v>
      </c>
      <c r="BO75" s="704"/>
      <c r="BP75" s="704"/>
    </row>
    <row r="76" spans="1:68">
      <c r="A76" s="817"/>
      <c r="B76" s="817"/>
      <c r="C76" s="437"/>
      <c r="D76" s="438" t="str">
        <f t="shared" si="0"/>
        <v>WT 24h</v>
      </c>
      <c r="E76" s="438" t="s">
        <v>32</v>
      </c>
      <c r="F76" s="704"/>
      <c r="G76" s="752"/>
      <c r="H76" s="755"/>
      <c r="I76" s="755"/>
      <c r="J76" s="758"/>
      <c r="K76" s="749"/>
      <c r="L76" s="427"/>
      <c r="M76" s="427"/>
      <c r="N76" s="427"/>
      <c r="O76" s="437"/>
      <c r="P76" s="438" t="str">
        <f t="shared" si="1"/>
        <v>Set 1 24h</v>
      </c>
      <c r="Q76" s="438" t="s">
        <v>32</v>
      </c>
      <c r="R76" s="704">
        <v>22.860995428239612</v>
      </c>
      <c r="S76" s="752"/>
      <c r="T76" s="755"/>
      <c r="U76" s="758"/>
      <c r="V76" s="749"/>
      <c r="W76" s="704"/>
      <c r="X76" s="428"/>
      <c r="Y76" s="428"/>
      <c r="Z76" s="437"/>
      <c r="AA76" s="438" t="str">
        <f t="shared" si="2"/>
        <v>Set 2 24h</v>
      </c>
      <c r="AB76" s="438" t="s">
        <v>32</v>
      </c>
      <c r="AC76" s="704">
        <v>22.731145987642073</v>
      </c>
      <c r="AD76" s="752"/>
      <c r="AE76" s="755"/>
      <c r="AF76" s="758"/>
      <c r="AG76" s="749"/>
      <c r="AH76" s="428"/>
      <c r="AI76" s="704"/>
      <c r="AJ76" s="428"/>
      <c r="AK76" s="437"/>
      <c r="AL76" s="438" t="str">
        <f t="shared" si="3"/>
        <v>Set 4 24h</v>
      </c>
      <c r="AM76" s="438" t="s">
        <v>32</v>
      </c>
      <c r="AN76" s="704">
        <v>24.94878445728466</v>
      </c>
      <c r="AO76" s="752"/>
      <c r="AP76" s="755"/>
      <c r="AQ76" s="758"/>
      <c r="AR76" s="749"/>
      <c r="AS76" s="428"/>
      <c r="AT76" s="704"/>
      <c r="AU76" s="428"/>
      <c r="AV76" s="437"/>
      <c r="AW76" s="438" t="str">
        <f t="shared" si="4"/>
        <v>Set 5 24h</v>
      </c>
      <c r="AX76" s="438" t="s">
        <v>32</v>
      </c>
      <c r="AY76" s="704">
        <v>25.16487776518936</v>
      </c>
      <c r="AZ76" s="752"/>
      <c r="BA76" s="755"/>
      <c r="BB76" s="758"/>
      <c r="BC76" s="749"/>
      <c r="BD76" s="704"/>
      <c r="BE76" s="704"/>
      <c r="BF76" s="428"/>
      <c r="BG76" s="437"/>
      <c r="BH76" s="438" t="str">
        <f t="shared" si="5"/>
        <v>GFP 24h</v>
      </c>
      <c r="BI76" s="438" t="s">
        <v>32</v>
      </c>
      <c r="BJ76" s="704">
        <v>20.810300504000708</v>
      </c>
      <c r="BK76" s="752"/>
      <c r="BL76" s="755"/>
      <c r="BM76" s="758"/>
      <c r="BN76" s="749"/>
      <c r="BO76" s="704"/>
      <c r="BP76" s="704"/>
    </row>
    <row r="77" spans="1:68">
      <c r="A77" s="817"/>
      <c r="B77" s="817"/>
      <c r="C77" s="440"/>
      <c r="D77" s="441" t="str">
        <f t="shared" si="0"/>
        <v>WT 24h</v>
      </c>
      <c r="E77" s="441" t="s">
        <v>32</v>
      </c>
      <c r="F77" s="704">
        <v>23.802192866226157</v>
      </c>
      <c r="G77" s="753"/>
      <c r="H77" s="756"/>
      <c r="I77" s="755"/>
      <c r="J77" s="759"/>
      <c r="K77" s="761"/>
      <c r="L77" s="427"/>
      <c r="M77" s="427"/>
      <c r="N77" s="427"/>
      <c r="O77" s="440"/>
      <c r="P77" s="441" t="str">
        <f t="shared" si="1"/>
        <v>Set 1 24h</v>
      </c>
      <c r="Q77" s="441" t="s">
        <v>32</v>
      </c>
      <c r="R77" s="704">
        <v>22.908355288908105</v>
      </c>
      <c r="S77" s="763"/>
      <c r="T77" s="765"/>
      <c r="U77" s="767"/>
      <c r="V77" s="750"/>
      <c r="W77" s="704"/>
      <c r="X77" s="428"/>
      <c r="Y77" s="428"/>
      <c r="Z77" s="440"/>
      <c r="AA77" s="441" t="str">
        <f t="shared" si="2"/>
        <v>Set 2 24h</v>
      </c>
      <c r="AB77" s="441" t="s">
        <v>32</v>
      </c>
      <c r="AC77" s="704">
        <v>22.588938694230933</v>
      </c>
      <c r="AD77" s="763"/>
      <c r="AE77" s="765"/>
      <c r="AF77" s="767"/>
      <c r="AG77" s="750"/>
      <c r="AH77" s="428"/>
      <c r="AI77" s="704"/>
      <c r="AJ77" s="428"/>
      <c r="AK77" s="440"/>
      <c r="AL77" s="441" t="str">
        <f t="shared" si="3"/>
        <v>Set 4 24h</v>
      </c>
      <c r="AM77" s="441" t="s">
        <v>32</v>
      </c>
      <c r="AN77" s="704">
        <v>25.080881084957561</v>
      </c>
      <c r="AO77" s="763"/>
      <c r="AP77" s="765"/>
      <c r="AQ77" s="767"/>
      <c r="AR77" s="750"/>
      <c r="AS77" s="428"/>
      <c r="AT77" s="428"/>
      <c r="AU77" s="428"/>
      <c r="AV77" s="440"/>
      <c r="AW77" s="441" t="str">
        <f t="shared" si="4"/>
        <v>Set 5 24h</v>
      </c>
      <c r="AX77" s="441" t="s">
        <v>32</v>
      </c>
      <c r="AY77" s="704"/>
      <c r="AZ77" s="763"/>
      <c r="BA77" s="765"/>
      <c r="BB77" s="767"/>
      <c r="BC77" s="750"/>
      <c r="BD77" s="704"/>
      <c r="BE77" s="704"/>
      <c r="BF77" s="428"/>
      <c r="BG77" s="440"/>
      <c r="BH77" s="441" t="str">
        <f t="shared" si="5"/>
        <v>GFP 24h</v>
      </c>
      <c r="BI77" s="441" t="s">
        <v>32</v>
      </c>
      <c r="BJ77" s="704">
        <v>20.380253319340049</v>
      </c>
      <c r="BK77" s="763"/>
      <c r="BL77" s="765"/>
      <c r="BM77" s="767"/>
      <c r="BN77" s="750"/>
      <c r="BO77" s="704"/>
      <c r="BP77" s="704"/>
    </row>
    <row r="78" spans="1:68">
      <c r="A78" s="817"/>
      <c r="B78" s="817"/>
      <c r="C78" s="443"/>
      <c r="D78" s="444" t="str">
        <f t="shared" si="0"/>
        <v>WT 24h</v>
      </c>
      <c r="E78" s="444" t="s">
        <v>32</v>
      </c>
      <c r="F78" s="704">
        <v>23.312192013540759</v>
      </c>
      <c r="G78" s="751">
        <f>AVERAGE(F78:F80)</f>
        <v>23.312192013540759</v>
      </c>
      <c r="H78" s="754">
        <f>G78-G51</f>
        <v>2.7059572147271176</v>
      </c>
      <c r="I78" s="755"/>
      <c r="J78" s="757">
        <f>H78-I72</f>
        <v>7.4539027473846886E-2</v>
      </c>
      <c r="K78" s="760">
        <f>2^-(J78)</f>
        <v>0.94964550492661126</v>
      </c>
      <c r="L78" s="427"/>
      <c r="M78" s="427"/>
      <c r="N78" s="427"/>
      <c r="O78" s="443"/>
      <c r="P78" s="444" t="str">
        <f t="shared" si="1"/>
        <v>Set 1 24h</v>
      </c>
      <c r="Q78" s="444" t="s">
        <v>32</v>
      </c>
      <c r="R78" s="704">
        <v>23.888904661741563</v>
      </c>
      <c r="S78" s="752">
        <f>AVERAGE(R78:R80)</f>
        <v>24.327915167269367</v>
      </c>
      <c r="T78" s="755">
        <f>S78-S51</f>
        <v>5.0860980036532446</v>
      </c>
      <c r="U78" s="758">
        <f>T78-I72</f>
        <v>2.4546798163999739</v>
      </c>
      <c r="V78" s="768">
        <f>2^-(U78)</f>
        <v>0.18241802336506574</v>
      </c>
      <c r="W78" s="704"/>
      <c r="X78" s="428"/>
      <c r="Y78" s="428"/>
      <c r="Z78" s="443"/>
      <c r="AA78" s="444" t="str">
        <f t="shared" si="2"/>
        <v>Set 2 24h</v>
      </c>
      <c r="AB78" s="444" t="s">
        <v>32</v>
      </c>
      <c r="AC78" s="704">
        <v>23.489881807178264</v>
      </c>
      <c r="AD78" s="752">
        <f>AVERAGE(AC78:AC80)</f>
        <v>24.055426444986196</v>
      </c>
      <c r="AE78" s="755">
        <f>AD78-AD51</f>
        <v>4.7916718465594315</v>
      </c>
      <c r="AF78" s="758">
        <f>AE78-I72</f>
        <v>2.1602536593061608</v>
      </c>
      <c r="AG78" s="768">
        <f>2^-(AF78)</f>
        <v>0.22371692963999809</v>
      </c>
      <c r="AH78" s="428"/>
      <c r="AJ78" s="428"/>
      <c r="AK78" s="443"/>
      <c r="AL78" s="444" t="str">
        <f t="shared" si="3"/>
        <v>Set 4 24h</v>
      </c>
      <c r="AM78" s="444" t="s">
        <v>32</v>
      </c>
      <c r="AN78" s="704">
        <v>24.107454749003765</v>
      </c>
      <c r="AO78" s="752">
        <f>AVERAGE(AN78:AN80)</f>
        <v>24.533775435091218</v>
      </c>
      <c r="AP78" s="755">
        <f>AO78-AO51</f>
        <v>5.2960172260930918</v>
      </c>
      <c r="AQ78" s="758">
        <f>AP78-I72</f>
        <v>2.6645990388398211</v>
      </c>
      <c r="AR78" s="768">
        <f>2^-(AQ78)</f>
        <v>0.15771600324890289</v>
      </c>
      <c r="AS78" s="428"/>
      <c r="AT78" s="428"/>
      <c r="AU78" s="428"/>
      <c r="AV78" s="443"/>
      <c r="AW78" s="444" t="str">
        <f t="shared" si="4"/>
        <v>Set 5 24h</v>
      </c>
      <c r="AX78" s="444" t="s">
        <v>32</v>
      </c>
      <c r="AY78" s="704"/>
      <c r="AZ78" s="752">
        <f>AVERAGE(AY78:AY80)</f>
        <v>23.900992112403969</v>
      </c>
      <c r="BA78" s="755">
        <f>AZ78-AZ51</f>
        <v>4.6632339034058425</v>
      </c>
      <c r="BB78" s="758">
        <f>BA78-I72</f>
        <v>2.0318157161525718</v>
      </c>
      <c r="BC78" s="768">
        <f>2^-(BB78)</f>
        <v>0.24454710379394859</v>
      </c>
      <c r="BD78" s="704"/>
      <c r="BE78" s="704"/>
      <c r="BF78" s="428"/>
      <c r="BG78" s="443"/>
      <c r="BH78" s="444" t="str">
        <f t="shared" si="5"/>
        <v>GFP 24h</v>
      </c>
      <c r="BI78" s="444" t="s">
        <v>32</v>
      </c>
      <c r="BJ78" s="704">
        <v>20.902435795023123</v>
      </c>
      <c r="BK78" s="752">
        <f>AVERAGE(BJ78:BJ80)</f>
        <v>21.015581412190809</v>
      </c>
      <c r="BL78" s="755">
        <f>BK78-BK51</f>
        <v>2.4449597585455223</v>
      </c>
      <c r="BM78" s="758">
        <f>BL78-I72</f>
        <v>-0.18645842870774842</v>
      </c>
      <c r="BN78" s="768">
        <f>2^-(BM78)</f>
        <v>1.1379667691170592</v>
      </c>
      <c r="BO78" s="704"/>
      <c r="BP78" s="704"/>
    </row>
    <row r="79" spans="1:68">
      <c r="A79" s="817"/>
      <c r="B79" s="817"/>
      <c r="C79" s="429"/>
      <c r="D79" s="430" t="str">
        <f t="shared" si="0"/>
        <v>WT 24h</v>
      </c>
      <c r="E79" s="430" t="s">
        <v>32</v>
      </c>
      <c r="F79" s="704"/>
      <c r="G79" s="752"/>
      <c r="H79" s="755"/>
      <c r="I79" s="755"/>
      <c r="J79" s="758"/>
      <c r="K79" s="749"/>
      <c r="L79" s="427"/>
      <c r="M79" s="427"/>
      <c r="N79" s="427"/>
      <c r="O79" s="429"/>
      <c r="P79" s="430" t="str">
        <f t="shared" si="1"/>
        <v>Set 1 24h</v>
      </c>
      <c r="Q79" s="430" t="s">
        <v>32</v>
      </c>
      <c r="R79" s="704">
        <v>24.240996597643914</v>
      </c>
      <c r="S79" s="752"/>
      <c r="T79" s="755"/>
      <c r="U79" s="758"/>
      <c r="V79" s="749"/>
      <c r="W79" s="704"/>
      <c r="X79" s="428"/>
      <c r="Y79" s="428"/>
      <c r="Z79" s="429"/>
      <c r="AA79" s="430" t="str">
        <f t="shared" si="2"/>
        <v>Set 2 24h</v>
      </c>
      <c r="AB79" s="430" t="s">
        <v>32</v>
      </c>
      <c r="AC79" s="704">
        <v>23.826280839537375</v>
      </c>
      <c r="AD79" s="752"/>
      <c r="AE79" s="755"/>
      <c r="AF79" s="758"/>
      <c r="AG79" s="749"/>
      <c r="AH79" s="428"/>
      <c r="AI79" s="428"/>
      <c r="AJ79" s="428"/>
      <c r="AK79" s="429"/>
      <c r="AL79" s="430" t="str">
        <f t="shared" si="3"/>
        <v>Set 4 24h</v>
      </c>
      <c r="AM79" s="430" t="s">
        <v>32</v>
      </c>
      <c r="AN79" s="704">
        <v>24.719999332116757</v>
      </c>
      <c r="AO79" s="752"/>
      <c r="AP79" s="755"/>
      <c r="AQ79" s="758"/>
      <c r="AR79" s="749"/>
      <c r="AS79" s="428"/>
      <c r="AT79" s="428"/>
      <c r="AU79" s="428"/>
      <c r="AV79" s="429"/>
      <c r="AW79" s="430" t="str">
        <f t="shared" si="4"/>
        <v>Set 5 24h</v>
      </c>
      <c r="AX79" s="430" t="s">
        <v>32</v>
      </c>
      <c r="AY79" s="704">
        <v>23.900992112403969</v>
      </c>
      <c r="AZ79" s="752"/>
      <c r="BA79" s="755"/>
      <c r="BB79" s="758"/>
      <c r="BC79" s="749"/>
      <c r="BD79" s="704"/>
      <c r="BE79" s="704"/>
      <c r="BF79" s="428"/>
      <c r="BG79" s="429"/>
      <c r="BH79" s="430" t="str">
        <f t="shared" si="5"/>
        <v>GFP 24h</v>
      </c>
      <c r="BI79" s="430" t="s">
        <v>32</v>
      </c>
      <c r="BJ79" s="704">
        <v>20.70947546847335</v>
      </c>
      <c r="BK79" s="752"/>
      <c r="BL79" s="755"/>
      <c r="BM79" s="758"/>
      <c r="BN79" s="749"/>
      <c r="BO79" s="704"/>
      <c r="BP79" s="704"/>
    </row>
    <row r="80" spans="1:68" ht="16.2" thickBot="1">
      <c r="A80" s="817"/>
      <c r="B80" s="825"/>
      <c r="C80" s="445"/>
      <c r="D80" s="446" t="str">
        <f t="shared" si="0"/>
        <v>WT 24h</v>
      </c>
      <c r="E80" s="448" t="s">
        <v>32</v>
      </c>
      <c r="F80" s="704"/>
      <c r="G80" s="752"/>
      <c r="H80" s="755"/>
      <c r="I80" s="755"/>
      <c r="J80" s="758"/>
      <c r="K80" s="749"/>
      <c r="L80" s="427"/>
      <c r="M80" s="427"/>
      <c r="N80" s="427"/>
      <c r="O80" s="447"/>
      <c r="P80" s="448" t="str">
        <f t="shared" si="1"/>
        <v>Set 1 24h</v>
      </c>
      <c r="Q80" s="448" t="s">
        <v>32</v>
      </c>
      <c r="R80" s="704">
        <v>24.853844242422618</v>
      </c>
      <c r="S80" s="785"/>
      <c r="T80" s="786"/>
      <c r="U80" s="790"/>
      <c r="V80" s="791"/>
      <c r="W80" s="704"/>
      <c r="X80" s="428"/>
      <c r="Y80" s="428"/>
      <c r="Z80" s="447"/>
      <c r="AA80" s="448" t="str">
        <f t="shared" si="2"/>
        <v>Set 2 24h</v>
      </c>
      <c r="AB80" s="448" t="s">
        <v>32</v>
      </c>
      <c r="AC80" s="704">
        <v>24.850116688242949</v>
      </c>
      <c r="AD80" s="785"/>
      <c r="AE80" s="786"/>
      <c r="AF80" s="790"/>
      <c r="AG80" s="791"/>
      <c r="AH80" s="428"/>
      <c r="AI80" s="428"/>
      <c r="AJ80" s="428"/>
      <c r="AK80" s="447"/>
      <c r="AL80" s="448" t="str">
        <f t="shared" si="3"/>
        <v>Set 4 24h</v>
      </c>
      <c r="AM80" s="448" t="s">
        <v>32</v>
      </c>
      <c r="AN80" s="704">
        <v>24.773872224153145</v>
      </c>
      <c r="AO80" s="785"/>
      <c r="AP80" s="786"/>
      <c r="AQ80" s="790"/>
      <c r="AR80" s="791"/>
      <c r="AS80" s="428"/>
      <c r="AT80" s="428"/>
      <c r="AU80" s="428"/>
      <c r="AV80" s="447"/>
      <c r="AW80" s="448" t="str">
        <f t="shared" si="4"/>
        <v>Set 5 24h</v>
      </c>
      <c r="AX80" s="448" t="s">
        <v>32</v>
      </c>
      <c r="AY80" s="704"/>
      <c r="AZ80" s="785"/>
      <c r="BA80" s="786"/>
      <c r="BB80" s="790"/>
      <c r="BC80" s="791"/>
      <c r="BD80" s="704"/>
      <c r="BE80" s="704"/>
      <c r="BF80" s="428"/>
      <c r="BG80" s="447"/>
      <c r="BH80" s="448" t="str">
        <f t="shared" si="5"/>
        <v>GFP 24h</v>
      </c>
      <c r="BI80" s="448" t="s">
        <v>32</v>
      </c>
      <c r="BJ80" s="704">
        <v>21.434832973075956</v>
      </c>
      <c r="BK80" s="785"/>
      <c r="BL80" s="786"/>
      <c r="BM80" s="790"/>
      <c r="BN80" s="791"/>
      <c r="BO80" s="704"/>
      <c r="BP80" s="704"/>
    </row>
    <row r="81" spans="1:68" ht="17.100000000000001" customHeight="1">
      <c r="A81" s="829" t="s">
        <v>14</v>
      </c>
      <c r="B81" s="829" t="str">
        <f>E81</f>
        <v>MDA5</v>
      </c>
      <c r="C81" s="499"/>
      <c r="D81" s="500" t="str">
        <f t="shared" si="0"/>
        <v>WT 24h</v>
      </c>
      <c r="E81" s="485" t="s">
        <v>34</v>
      </c>
      <c r="F81" s="704"/>
      <c r="G81" s="866">
        <f>AVERAGE(F81:F83)</f>
        <v>25.793674238624199</v>
      </c>
      <c r="H81" s="867">
        <f>G81-G45</f>
        <v>5.3221012203571938</v>
      </c>
      <c r="I81" s="867">
        <f>AVERAGE(H81:H89)</f>
        <v>5.2591612115122892</v>
      </c>
      <c r="J81" s="868">
        <f>H81-I81</f>
        <v>6.2940008844904582E-2</v>
      </c>
      <c r="K81" s="869">
        <f>2^-(J81)</f>
        <v>0.95731126495480512</v>
      </c>
      <c r="L81" s="427"/>
      <c r="M81" s="427"/>
      <c r="N81" s="427"/>
      <c r="O81" s="484"/>
      <c r="P81" s="485" t="str">
        <f t="shared" si="1"/>
        <v>Set 1 24h</v>
      </c>
      <c r="Q81" s="485" t="s">
        <v>34</v>
      </c>
      <c r="R81" s="704">
        <v>27.465805721959129</v>
      </c>
      <c r="S81" s="832">
        <f>AVERAGE(R81:R83)</f>
        <v>27.715893118057522</v>
      </c>
      <c r="T81" s="835">
        <f>S81-S45</f>
        <v>8.1944198013448819</v>
      </c>
      <c r="U81" s="807">
        <f>T81-I81</f>
        <v>2.9352585898325927</v>
      </c>
      <c r="V81" s="839">
        <f>2^-(U81)</f>
        <v>0.13073718193499692</v>
      </c>
      <c r="W81" s="704"/>
      <c r="X81" s="428"/>
      <c r="Y81" s="428"/>
      <c r="Z81" s="484"/>
      <c r="AA81" s="485" t="str">
        <f t="shared" si="2"/>
        <v>Set 2 24h</v>
      </c>
      <c r="AB81" s="485" t="s">
        <v>34</v>
      </c>
      <c r="AC81" s="704">
        <v>24.127260614045717</v>
      </c>
      <c r="AD81" s="832">
        <f>AVERAGE(AC81:AC83)</f>
        <v>24.638741598182708</v>
      </c>
      <c r="AE81" s="835">
        <f>AD81-AD45</f>
        <v>7.1091418182852451</v>
      </c>
      <c r="AF81" s="807">
        <f>AE81-I81</f>
        <v>1.8499806067729558</v>
      </c>
      <c r="AG81" s="839">
        <f>2^-(AF81)</f>
        <v>0.27739609685027516</v>
      </c>
      <c r="AH81" s="428"/>
      <c r="AI81" s="428"/>
      <c r="AJ81" s="428"/>
      <c r="AK81" s="484"/>
      <c r="AL81" s="485" t="str">
        <f t="shared" si="3"/>
        <v>Set 4 24h</v>
      </c>
      <c r="AM81" s="485" t="s">
        <v>34</v>
      </c>
      <c r="AN81" s="704">
        <v>29.784445523167847</v>
      </c>
      <c r="AO81" s="832">
        <f>AVERAGE(AN81:AN83)</f>
        <v>29.925614072156577</v>
      </c>
      <c r="AP81" s="835">
        <f>AO81-AO45</f>
        <v>9.5573075473675537</v>
      </c>
      <c r="AQ81" s="807">
        <f>AP81-I81</f>
        <v>4.2981463358552645</v>
      </c>
      <c r="AR81" s="839">
        <f>2^-(AQ81)</f>
        <v>5.0831043712823501E-2</v>
      </c>
      <c r="AS81" s="428"/>
      <c r="AT81" s="428"/>
      <c r="AU81" s="428"/>
      <c r="AV81" s="484"/>
      <c r="AW81" s="485" t="str">
        <f t="shared" si="4"/>
        <v>Set 5 24h</v>
      </c>
      <c r="AX81" s="485" t="s">
        <v>34</v>
      </c>
      <c r="AY81" s="704">
        <v>28.379429404453191</v>
      </c>
      <c r="AZ81" s="832">
        <f>AVERAGE(AY81:AY83)</f>
        <v>28.858995468917215</v>
      </c>
      <c r="BA81" s="835">
        <f>AZ81-AZ45</f>
        <v>8.4906889441281912</v>
      </c>
      <c r="BB81" s="807">
        <f>BA81-I81</f>
        <v>3.231527732615902</v>
      </c>
      <c r="BC81" s="839">
        <f>2^-(BB81)</f>
        <v>0.10646655967893662</v>
      </c>
      <c r="BD81" s="704"/>
      <c r="BE81" s="704"/>
      <c r="BF81" s="428"/>
      <c r="BG81" s="484"/>
      <c r="BH81" s="485" t="str">
        <f t="shared" si="5"/>
        <v>GFP 24h</v>
      </c>
      <c r="BI81" s="485" t="s">
        <v>34</v>
      </c>
      <c r="BJ81" s="704">
        <v>22.486446604859559</v>
      </c>
      <c r="BK81" s="832">
        <f>AVERAGE(BJ81:BJ83)</f>
        <v>22.112681192933678</v>
      </c>
      <c r="BL81" s="835">
        <f>BK81-BK45</f>
        <v>4.2205351736286723</v>
      </c>
      <c r="BM81" s="807">
        <f>BL81-I81</f>
        <v>-1.038626037883617</v>
      </c>
      <c r="BN81" s="839">
        <f>2^-(BM81)</f>
        <v>2.0542703207127788</v>
      </c>
      <c r="BO81" s="704"/>
      <c r="BP81" s="704"/>
    </row>
    <row r="82" spans="1:68">
      <c r="A82" s="830"/>
      <c r="B82" s="830"/>
      <c r="C82" s="484"/>
      <c r="D82" s="485" t="str">
        <f t="shared" si="0"/>
        <v>WT 24h</v>
      </c>
      <c r="E82" s="485" t="s">
        <v>34</v>
      </c>
      <c r="F82" s="704">
        <v>25.793674238624199</v>
      </c>
      <c r="G82" s="833"/>
      <c r="H82" s="836"/>
      <c r="I82" s="836"/>
      <c r="J82" s="808"/>
      <c r="K82" s="840"/>
      <c r="L82" s="427"/>
      <c r="M82" s="427"/>
      <c r="N82" s="427"/>
      <c r="O82" s="484"/>
      <c r="P82" s="485" t="str">
        <f t="shared" si="1"/>
        <v>Set 1 24h</v>
      </c>
      <c r="Q82" s="485" t="s">
        <v>34</v>
      </c>
      <c r="R82" s="704">
        <v>27.874626512340619</v>
      </c>
      <c r="S82" s="833"/>
      <c r="T82" s="836"/>
      <c r="U82" s="808"/>
      <c r="V82" s="840"/>
      <c r="W82" s="704"/>
      <c r="X82" s="428"/>
      <c r="Y82" s="428"/>
      <c r="Z82" s="484"/>
      <c r="AA82" s="485" t="str">
        <f t="shared" si="2"/>
        <v>Set 2 24h</v>
      </c>
      <c r="AB82" s="485" t="s">
        <v>34</v>
      </c>
      <c r="AC82" s="704">
        <v>24.968373939710695</v>
      </c>
      <c r="AD82" s="833"/>
      <c r="AE82" s="836"/>
      <c r="AF82" s="808"/>
      <c r="AG82" s="840"/>
      <c r="AH82" s="428"/>
      <c r="AI82" s="428"/>
      <c r="AJ82" s="428"/>
      <c r="AK82" s="484"/>
      <c r="AL82" s="485" t="str">
        <f t="shared" si="3"/>
        <v>Set 4 24h</v>
      </c>
      <c r="AM82" s="485" t="s">
        <v>34</v>
      </c>
      <c r="AN82" s="704">
        <v>29.625947708682574</v>
      </c>
      <c r="AO82" s="833"/>
      <c r="AP82" s="836"/>
      <c r="AQ82" s="808"/>
      <c r="AR82" s="840"/>
      <c r="AS82" s="428"/>
      <c r="AT82" s="428"/>
      <c r="AU82" s="428"/>
      <c r="AV82" s="484"/>
      <c r="AW82" s="485" t="str">
        <f t="shared" si="4"/>
        <v>Set 5 24h</v>
      </c>
      <c r="AX82" s="485" t="s">
        <v>34</v>
      </c>
      <c r="AY82" s="704">
        <v>28.779787682518588</v>
      </c>
      <c r="AZ82" s="833"/>
      <c r="BA82" s="836"/>
      <c r="BB82" s="808"/>
      <c r="BC82" s="840"/>
      <c r="BD82" s="704"/>
      <c r="BE82" s="704"/>
      <c r="BF82" s="428"/>
      <c r="BG82" s="484"/>
      <c r="BH82" s="485" t="str">
        <f t="shared" si="5"/>
        <v>GFP 24h</v>
      </c>
      <c r="BI82" s="485" t="s">
        <v>34</v>
      </c>
      <c r="BJ82" s="704">
        <v>21.486815890144221</v>
      </c>
      <c r="BK82" s="833"/>
      <c r="BL82" s="836"/>
      <c r="BM82" s="808"/>
      <c r="BN82" s="840"/>
      <c r="BO82" s="704"/>
      <c r="BP82" s="704"/>
    </row>
    <row r="83" spans="1:68">
      <c r="A83" s="830"/>
      <c r="B83" s="830"/>
      <c r="C83" s="487"/>
      <c r="D83" s="488" t="str">
        <f t="shared" si="0"/>
        <v>WT 24h</v>
      </c>
      <c r="E83" s="488" t="s">
        <v>34</v>
      </c>
      <c r="F83" s="704"/>
      <c r="G83" s="834"/>
      <c r="H83" s="837"/>
      <c r="I83" s="836"/>
      <c r="J83" s="809"/>
      <c r="K83" s="841"/>
      <c r="L83" s="427"/>
      <c r="M83" s="427"/>
      <c r="N83" s="427"/>
      <c r="O83" s="487"/>
      <c r="P83" s="488" t="str">
        <f t="shared" si="1"/>
        <v>Set 1 24h</v>
      </c>
      <c r="Q83" s="488" t="s">
        <v>34</v>
      </c>
      <c r="R83" s="704">
        <v>27.807247119872827</v>
      </c>
      <c r="S83" s="834"/>
      <c r="T83" s="837"/>
      <c r="U83" s="809"/>
      <c r="V83" s="841"/>
      <c r="W83" s="704"/>
      <c r="X83" s="428"/>
      <c r="Y83" s="428"/>
      <c r="Z83" s="487"/>
      <c r="AA83" s="488" t="str">
        <f t="shared" si="2"/>
        <v>Set 2 24h</v>
      </c>
      <c r="AB83" s="488" t="s">
        <v>34</v>
      </c>
      <c r="AC83" s="704">
        <v>24.820590240791716</v>
      </c>
      <c r="AD83" s="834"/>
      <c r="AE83" s="837"/>
      <c r="AF83" s="809"/>
      <c r="AG83" s="841"/>
      <c r="AH83" s="428"/>
      <c r="AI83" s="428"/>
      <c r="AJ83" s="428"/>
      <c r="AK83" s="487"/>
      <c r="AL83" s="488" t="str">
        <f t="shared" si="3"/>
        <v>Set 4 24h</v>
      </c>
      <c r="AM83" s="488" t="s">
        <v>34</v>
      </c>
      <c r="AN83" s="704">
        <v>30.366448984619304</v>
      </c>
      <c r="AO83" s="834"/>
      <c r="AP83" s="837"/>
      <c r="AQ83" s="809"/>
      <c r="AR83" s="841"/>
      <c r="AS83" s="428"/>
      <c r="AT83" s="428"/>
      <c r="AU83" s="428"/>
      <c r="AV83" s="487"/>
      <c r="AW83" s="488" t="str">
        <f t="shared" si="4"/>
        <v>Set 5 24h</v>
      </c>
      <c r="AX83" s="488" t="s">
        <v>34</v>
      </c>
      <c r="AY83" s="704">
        <v>29.417769319779872</v>
      </c>
      <c r="AZ83" s="834"/>
      <c r="BA83" s="837"/>
      <c r="BB83" s="809"/>
      <c r="BC83" s="841"/>
      <c r="BD83" s="704"/>
      <c r="BE83" s="428"/>
      <c r="BF83" s="428"/>
      <c r="BG83" s="487"/>
      <c r="BH83" s="488" t="str">
        <f t="shared" si="5"/>
        <v>GFP 24h</v>
      </c>
      <c r="BI83" s="488" t="s">
        <v>34</v>
      </c>
      <c r="BJ83" s="704">
        <v>22.364781083797247</v>
      </c>
      <c r="BK83" s="834"/>
      <c r="BL83" s="837"/>
      <c r="BM83" s="809"/>
      <c r="BN83" s="841"/>
      <c r="BO83" s="704"/>
    </row>
    <row r="84" spans="1:68">
      <c r="A84" s="830"/>
      <c r="B84" s="830"/>
      <c r="C84" s="501"/>
      <c r="D84" s="502" t="str">
        <f t="shared" si="0"/>
        <v>WT 24h</v>
      </c>
      <c r="E84" s="502" t="s">
        <v>34</v>
      </c>
      <c r="F84" s="704"/>
      <c r="G84" s="842">
        <f>AVERAGE(F84:F86)</f>
        <v>25.60245952452653</v>
      </c>
      <c r="H84" s="843">
        <f>G84-G48</f>
        <v>4.9393488484941308</v>
      </c>
      <c r="I84" s="836"/>
      <c r="J84" s="844">
        <f>H84-I81</f>
        <v>-0.31981236301815841</v>
      </c>
      <c r="K84" s="839">
        <f>2^-(J84)</f>
        <v>1.2481682015320135</v>
      </c>
      <c r="L84" s="427"/>
      <c r="M84" s="427"/>
      <c r="N84" s="427"/>
      <c r="O84" s="501"/>
      <c r="P84" s="502" t="str">
        <f t="shared" si="1"/>
        <v>Set 1 24h</v>
      </c>
      <c r="Q84" s="502" t="s">
        <v>34</v>
      </c>
      <c r="R84" s="704">
        <v>26.29339949218631</v>
      </c>
      <c r="S84" s="842">
        <f>AVERAGE(R84:R86)</f>
        <v>25.903503380710386</v>
      </c>
      <c r="T84" s="843">
        <f>S84-S48</f>
        <v>8.2547941257577229</v>
      </c>
      <c r="U84" s="844">
        <f>T84-I81</f>
        <v>2.9956329142454337</v>
      </c>
      <c r="V84" s="845">
        <f>2^-(U84)</f>
        <v>0.12537895240865263</v>
      </c>
      <c r="W84" s="704"/>
      <c r="X84" s="428"/>
      <c r="Y84" s="428"/>
      <c r="Z84" s="501"/>
      <c r="AA84" s="502" t="str">
        <f t="shared" si="2"/>
        <v>Set 2 24h</v>
      </c>
      <c r="AB84" s="502" t="s">
        <v>34</v>
      </c>
      <c r="AC84" s="704">
        <v>25.123558358962427</v>
      </c>
      <c r="AD84" s="842">
        <f>AVERAGE(AC84:AC86)</f>
        <v>24.705013292986688</v>
      </c>
      <c r="AE84" s="843">
        <f>AD84-AD48</f>
        <v>6.8462852379550405</v>
      </c>
      <c r="AF84" s="844">
        <f>AE84-I81</f>
        <v>1.5871240264427513</v>
      </c>
      <c r="AG84" s="845">
        <f>2^-(AF84)</f>
        <v>0.33283428878825</v>
      </c>
      <c r="AH84" s="428"/>
      <c r="AI84" s="428"/>
      <c r="AJ84" s="428"/>
      <c r="AK84" s="501"/>
      <c r="AL84" s="502" t="str">
        <f t="shared" si="3"/>
        <v>Set 4 24h</v>
      </c>
      <c r="AM84" s="502" t="s">
        <v>34</v>
      </c>
      <c r="AN84" s="704">
        <v>30.632737324789012</v>
      </c>
      <c r="AO84" s="842">
        <f>AVERAGE(AN84:AN86)</f>
        <v>30.749808428968823</v>
      </c>
      <c r="AP84" s="843">
        <f>AO84-AO48</f>
        <v>10.428963565747448</v>
      </c>
      <c r="AQ84" s="844">
        <f>AP84-I81</f>
        <v>5.1698023542351592</v>
      </c>
      <c r="AR84" s="845">
        <f>2^-(AQ84)</f>
        <v>2.7780139338319788E-2</v>
      </c>
      <c r="AS84" s="428"/>
      <c r="AT84" s="428"/>
      <c r="AU84" s="428"/>
      <c r="AV84" s="501"/>
      <c r="AW84" s="502" t="str">
        <f t="shared" si="4"/>
        <v>Set 5 24h</v>
      </c>
      <c r="AX84" s="502" t="s">
        <v>34</v>
      </c>
      <c r="AY84" s="704">
        <v>31.043947268379654</v>
      </c>
      <c r="AZ84" s="842">
        <f>AVERAGE(AY84:AY86)</f>
        <v>30.796154756808999</v>
      </c>
      <c r="BA84" s="843">
        <f>AZ84-AZ48</f>
        <v>10.475309893587625</v>
      </c>
      <c r="BB84" s="844">
        <f>BA84-I81</f>
        <v>5.2161486820753353</v>
      </c>
      <c r="BC84" s="845">
        <f>2^-(BB84)</f>
        <v>2.6901889522691499E-2</v>
      </c>
      <c r="BD84" s="704"/>
      <c r="BE84" s="428"/>
      <c r="BF84" s="428"/>
      <c r="BG84" s="501"/>
      <c r="BH84" s="502" t="str">
        <f t="shared" si="5"/>
        <v>GFP 24h</v>
      </c>
      <c r="BI84" s="502" t="s">
        <v>34</v>
      </c>
      <c r="BJ84" s="704">
        <v>22.948616325123666</v>
      </c>
      <c r="BK84" s="842">
        <f>AVERAGE(BJ84:BJ86)</f>
        <v>22.683888595465067</v>
      </c>
      <c r="BL84" s="843">
        <f>BK84-BK48</f>
        <v>4.2213963935736984</v>
      </c>
      <c r="BM84" s="844">
        <f>BL84-I81</f>
        <v>-1.0377648179385908</v>
      </c>
      <c r="BN84" s="845">
        <f>2^-(BM84)</f>
        <v>2.0530443855219693</v>
      </c>
      <c r="BO84" s="704"/>
    </row>
    <row r="85" spans="1:68">
      <c r="A85" s="830"/>
      <c r="B85" s="830"/>
      <c r="C85" s="490"/>
      <c r="D85" s="491" t="str">
        <f t="shared" si="0"/>
        <v>WT 24h</v>
      </c>
      <c r="E85" s="491" t="s">
        <v>34</v>
      </c>
      <c r="F85" s="704"/>
      <c r="G85" s="833"/>
      <c r="H85" s="836"/>
      <c r="I85" s="836"/>
      <c r="J85" s="808"/>
      <c r="K85" s="840"/>
      <c r="L85" s="427"/>
      <c r="M85" s="427"/>
      <c r="N85" s="427"/>
      <c r="O85" s="490"/>
      <c r="P85" s="491" t="str">
        <f t="shared" si="1"/>
        <v>Set 1 24h</v>
      </c>
      <c r="Q85" s="491" t="s">
        <v>34</v>
      </c>
      <c r="R85" s="704">
        <v>25.425134816999254</v>
      </c>
      <c r="S85" s="833"/>
      <c r="T85" s="836"/>
      <c r="U85" s="808"/>
      <c r="V85" s="840"/>
      <c r="W85" s="704"/>
      <c r="X85" s="428"/>
      <c r="Y85" s="428"/>
      <c r="Z85" s="490"/>
      <c r="AA85" s="491" t="str">
        <f t="shared" si="2"/>
        <v>Set 2 24h</v>
      </c>
      <c r="AB85" s="491" t="s">
        <v>34</v>
      </c>
      <c r="AC85" s="704">
        <v>24.375421999502592</v>
      </c>
      <c r="AD85" s="833"/>
      <c r="AE85" s="836"/>
      <c r="AF85" s="808"/>
      <c r="AG85" s="840"/>
      <c r="AH85" s="428"/>
      <c r="AI85" s="428"/>
      <c r="AJ85" s="428"/>
      <c r="AK85" s="490"/>
      <c r="AL85" s="491" t="str">
        <f t="shared" si="3"/>
        <v>Set 4 24h</v>
      </c>
      <c r="AM85" s="491" t="s">
        <v>34</v>
      </c>
      <c r="AN85" s="704">
        <v>30.830580238035168</v>
      </c>
      <c r="AO85" s="833"/>
      <c r="AP85" s="836"/>
      <c r="AQ85" s="808"/>
      <c r="AR85" s="840"/>
      <c r="AS85" s="428"/>
      <c r="AT85" s="428"/>
      <c r="AU85" s="428"/>
      <c r="AV85" s="490"/>
      <c r="AW85" s="491" t="str">
        <f t="shared" si="4"/>
        <v>Set 5 24h</v>
      </c>
      <c r="AX85" s="491" t="s">
        <v>34</v>
      </c>
      <c r="AY85" s="704">
        <v>30.672231529090681</v>
      </c>
      <c r="AZ85" s="833"/>
      <c r="BA85" s="836"/>
      <c r="BB85" s="808"/>
      <c r="BC85" s="840"/>
      <c r="BD85" s="704"/>
      <c r="BE85" s="428"/>
      <c r="BF85" s="428"/>
      <c r="BG85" s="490"/>
      <c r="BH85" s="491" t="str">
        <f t="shared" si="5"/>
        <v>GFP 24h</v>
      </c>
      <c r="BI85" s="491" t="s">
        <v>34</v>
      </c>
      <c r="BJ85" s="704">
        <v>22.325371201957729</v>
      </c>
      <c r="BK85" s="833"/>
      <c r="BL85" s="836"/>
      <c r="BM85" s="808"/>
      <c r="BN85" s="840"/>
      <c r="BO85" s="704"/>
    </row>
    <row r="86" spans="1:68">
      <c r="A86" s="830"/>
      <c r="B86" s="830"/>
      <c r="C86" s="493"/>
      <c r="D86" s="494" t="str">
        <f t="shared" si="0"/>
        <v>WT 24h</v>
      </c>
      <c r="E86" s="494" t="s">
        <v>34</v>
      </c>
      <c r="F86" s="704">
        <v>25.60245952452653</v>
      </c>
      <c r="G86" s="834"/>
      <c r="H86" s="837"/>
      <c r="I86" s="836"/>
      <c r="J86" s="809"/>
      <c r="K86" s="841"/>
      <c r="L86" s="427"/>
      <c r="M86" s="427"/>
      <c r="N86" s="427"/>
      <c r="O86" s="493"/>
      <c r="P86" s="494" t="str">
        <f t="shared" si="1"/>
        <v>Set 1 24h</v>
      </c>
      <c r="Q86" s="494" t="s">
        <v>34</v>
      </c>
      <c r="R86" s="704">
        <v>25.991975832945592</v>
      </c>
      <c r="S86" s="834"/>
      <c r="T86" s="837"/>
      <c r="U86" s="809"/>
      <c r="V86" s="841"/>
      <c r="W86" s="704"/>
      <c r="X86" s="428"/>
      <c r="Y86" s="428"/>
      <c r="Z86" s="493"/>
      <c r="AA86" s="494" t="str">
        <f t="shared" si="2"/>
        <v>Set 2 24h</v>
      </c>
      <c r="AB86" s="494" t="s">
        <v>34</v>
      </c>
      <c r="AC86" s="704">
        <v>24.61605952049505</v>
      </c>
      <c r="AD86" s="834"/>
      <c r="AE86" s="837"/>
      <c r="AF86" s="809"/>
      <c r="AG86" s="841"/>
      <c r="AH86" s="428"/>
      <c r="AI86" s="428"/>
      <c r="AJ86" s="428"/>
      <c r="AK86" s="493"/>
      <c r="AL86" s="494" t="str">
        <f t="shared" si="3"/>
        <v>Set 4 24h</v>
      </c>
      <c r="AM86" s="494" t="s">
        <v>34</v>
      </c>
      <c r="AN86" s="704">
        <v>30.786107724082292</v>
      </c>
      <c r="AO86" s="834"/>
      <c r="AP86" s="837"/>
      <c r="AQ86" s="809"/>
      <c r="AR86" s="841"/>
      <c r="AS86" s="428"/>
      <c r="AT86" s="428"/>
      <c r="AU86" s="428"/>
      <c r="AV86" s="493"/>
      <c r="AW86" s="494" t="str">
        <f t="shared" si="4"/>
        <v>Set 5 24h</v>
      </c>
      <c r="AX86" s="494" t="s">
        <v>34</v>
      </c>
      <c r="AY86" s="704">
        <v>30.672285472956652</v>
      </c>
      <c r="AZ86" s="834"/>
      <c r="BA86" s="837"/>
      <c r="BB86" s="809"/>
      <c r="BC86" s="841"/>
      <c r="BD86" s="704"/>
      <c r="BE86" s="428"/>
      <c r="BF86" s="428"/>
      <c r="BG86" s="493"/>
      <c r="BH86" s="494" t="str">
        <f t="shared" si="5"/>
        <v>GFP 24h</v>
      </c>
      <c r="BI86" s="494" t="s">
        <v>34</v>
      </c>
      <c r="BJ86" s="704">
        <v>22.777678259313817</v>
      </c>
      <c r="BK86" s="834"/>
      <c r="BL86" s="837"/>
      <c r="BM86" s="809"/>
      <c r="BN86" s="841"/>
      <c r="BO86" s="704"/>
    </row>
    <row r="87" spans="1:68">
      <c r="A87" s="830"/>
      <c r="B87" s="830"/>
      <c r="C87" s="503"/>
      <c r="D87" s="504" t="str">
        <f t="shared" si="0"/>
        <v>WT 24h</v>
      </c>
      <c r="E87" s="504" t="s">
        <v>34</v>
      </c>
      <c r="F87" s="704"/>
      <c r="G87" s="833">
        <f>AVERAGE(F87:F89)</f>
        <v>26.122268364499185</v>
      </c>
      <c r="H87" s="843">
        <f>G87-G51</f>
        <v>5.516033565685543</v>
      </c>
      <c r="I87" s="836"/>
      <c r="J87" s="808">
        <f>H87-I81</f>
        <v>0.25687235417325383</v>
      </c>
      <c r="K87" s="839">
        <f>2^-(J87)</f>
        <v>0.83690028612303802</v>
      </c>
      <c r="L87" s="427"/>
      <c r="M87" s="427"/>
      <c r="N87" s="427"/>
      <c r="O87" s="503"/>
      <c r="P87" s="504" t="str">
        <f t="shared" si="1"/>
        <v>Set 1 24h</v>
      </c>
      <c r="Q87" s="504" t="s">
        <v>34</v>
      </c>
      <c r="R87" s="704">
        <v>29.20671674901638</v>
      </c>
      <c r="S87" s="833">
        <f>AVERAGE(R87:R89)</f>
        <v>28.567146345540337</v>
      </c>
      <c r="T87" s="843">
        <f>S87-S51</f>
        <v>9.3253291819242143</v>
      </c>
      <c r="U87" s="808">
        <f>T87-I81</f>
        <v>4.0661679704119251</v>
      </c>
      <c r="V87" s="840">
        <f>2^-(U87)</f>
        <v>5.9698232560464519E-2</v>
      </c>
      <c r="W87" s="704"/>
      <c r="X87" s="428"/>
      <c r="Y87" s="428"/>
      <c r="Z87" s="503"/>
      <c r="AA87" s="504" t="str">
        <f t="shared" si="2"/>
        <v>Set 2 24h</v>
      </c>
      <c r="AB87" s="504" t="s">
        <v>34</v>
      </c>
      <c r="AC87" s="704">
        <v>26.84261036328391</v>
      </c>
      <c r="AD87" s="833">
        <f>AVERAGE(AC87:AC89)</f>
        <v>26.508434122316043</v>
      </c>
      <c r="AE87" s="843">
        <f>AD87-AD51</f>
        <v>7.2446795238892783</v>
      </c>
      <c r="AF87" s="808">
        <f>AE87-I81</f>
        <v>1.9855183123769891</v>
      </c>
      <c r="AG87" s="840">
        <f>2^-(AF87)</f>
        <v>0.25252212251741291</v>
      </c>
      <c r="AH87" s="428"/>
      <c r="AI87" s="428"/>
      <c r="AJ87" s="428"/>
      <c r="AK87" s="503"/>
      <c r="AL87" s="504" t="str">
        <f t="shared" si="3"/>
        <v>Set 4 24h</v>
      </c>
      <c r="AM87" s="504" t="s">
        <v>34</v>
      </c>
      <c r="AN87" s="704">
        <v>28.570491971225159</v>
      </c>
      <c r="AO87" s="833">
        <f>AVERAGE(AN87:AN89)</f>
        <v>29.420540429219344</v>
      </c>
      <c r="AP87" s="843">
        <f>AO87-AO51</f>
        <v>10.182782220221217</v>
      </c>
      <c r="AQ87" s="808">
        <f>AP87-I81</f>
        <v>4.9236210087089276</v>
      </c>
      <c r="AR87" s="840">
        <f>2^-(AQ87)</f>
        <v>3.2949011439087919E-2</v>
      </c>
      <c r="AS87" s="428"/>
      <c r="AT87" s="428"/>
      <c r="AU87" s="428"/>
      <c r="AV87" s="503"/>
      <c r="AW87" s="504" t="str">
        <f t="shared" si="4"/>
        <v>Set 5 24h</v>
      </c>
      <c r="AX87" s="504" t="s">
        <v>34</v>
      </c>
      <c r="AY87" s="704">
        <v>30.291093708840528</v>
      </c>
      <c r="AZ87" s="833">
        <f>AVERAGE(AY87:AY89)</f>
        <v>29.719586717383212</v>
      </c>
      <c r="BA87" s="843">
        <f>AZ87-AZ51</f>
        <v>10.481828508385085</v>
      </c>
      <c r="BB87" s="808">
        <f>BA87-I81</f>
        <v>5.2226672968727961</v>
      </c>
      <c r="BC87" s="840">
        <f>2^-(BB87)</f>
        <v>2.6780611311067268E-2</v>
      </c>
      <c r="BD87" s="704"/>
      <c r="BE87" s="428"/>
      <c r="BF87" s="428"/>
      <c r="BG87" s="503"/>
      <c r="BH87" s="504" t="str">
        <f t="shared" si="5"/>
        <v>GFP 24h</v>
      </c>
      <c r="BI87" s="504" t="s">
        <v>34</v>
      </c>
      <c r="BJ87" s="704">
        <v>22.986041702121796</v>
      </c>
      <c r="BK87" s="833">
        <f>AVERAGE(BJ87:BJ89)</f>
        <v>22.692327967527</v>
      </c>
      <c r="BL87" s="843">
        <f>BK87-BK51</f>
        <v>4.1217063138817132</v>
      </c>
      <c r="BM87" s="808">
        <f>BL87-I81</f>
        <v>-1.1374548976305761</v>
      </c>
      <c r="BN87" s="840">
        <f>2^-(BM87)</f>
        <v>2.1999258501230425</v>
      </c>
      <c r="BO87" s="704"/>
    </row>
    <row r="88" spans="1:68">
      <c r="A88" s="830"/>
      <c r="B88" s="830"/>
      <c r="C88" s="484"/>
      <c r="D88" s="485" t="str">
        <f t="shared" si="0"/>
        <v>WT 24h</v>
      </c>
      <c r="E88" s="485" t="s">
        <v>34</v>
      </c>
      <c r="F88" s="704"/>
      <c r="G88" s="833"/>
      <c r="H88" s="836"/>
      <c r="I88" s="836"/>
      <c r="J88" s="808"/>
      <c r="K88" s="840"/>
      <c r="L88" s="427"/>
      <c r="M88" s="427"/>
      <c r="N88" s="427"/>
      <c r="O88" s="484"/>
      <c r="P88" s="485" t="str">
        <f t="shared" si="1"/>
        <v>Set 1 24h</v>
      </c>
      <c r="Q88" s="485" t="s">
        <v>34</v>
      </c>
      <c r="R88" s="704">
        <v>27.945673124974263</v>
      </c>
      <c r="S88" s="833"/>
      <c r="T88" s="836"/>
      <c r="U88" s="808"/>
      <c r="V88" s="840"/>
      <c r="W88" s="704"/>
      <c r="X88" s="428"/>
      <c r="Y88" s="428"/>
      <c r="Z88" s="484"/>
      <c r="AA88" s="485" t="str">
        <f t="shared" si="2"/>
        <v>Set 2 24h</v>
      </c>
      <c r="AB88" s="485" t="s">
        <v>34</v>
      </c>
      <c r="AC88" s="704">
        <v>25.873819112228681</v>
      </c>
      <c r="AD88" s="833"/>
      <c r="AE88" s="836"/>
      <c r="AF88" s="808"/>
      <c r="AG88" s="840"/>
      <c r="AH88" s="428"/>
      <c r="AI88" s="428"/>
      <c r="AJ88" s="428"/>
      <c r="AK88" s="484"/>
      <c r="AL88" s="485" t="str">
        <f t="shared" si="3"/>
        <v>Set 4 24h</v>
      </c>
      <c r="AM88" s="485" t="s">
        <v>34</v>
      </c>
      <c r="AN88" s="704">
        <v>29.724100150168006</v>
      </c>
      <c r="AO88" s="833"/>
      <c r="AP88" s="836"/>
      <c r="AQ88" s="808"/>
      <c r="AR88" s="840"/>
      <c r="AS88" s="428"/>
      <c r="AT88" s="428"/>
      <c r="AU88" s="428"/>
      <c r="AV88" s="484"/>
      <c r="AW88" s="485" t="str">
        <f t="shared" si="4"/>
        <v>Set 5 24h</v>
      </c>
      <c r="AX88" s="485" t="s">
        <v>34</v>
      </c>
      <c r="AY88" s="704">
        <v>29.652842760732369</v>
      </c>
      <c r="AZ88" s="833"/>
      <c r="BA88" s="836"/>
      <c r="BB88" s="808"/>
      <c r="BC88" s="840"/>
      <c r="BD88" s="704"/>
      <c r="BE88" s="428"/>
      <c r="BF88" s="428"/>
      <c r="BG88" s="484"/>
      <c r="BH88" s="485" t="str">
        <f t="shared" si="5"/>
        <v>GFP 24h</v>
      </c>
      <c r="BI88" s="485" t="s">
        <v>34</v>
      </c>
      <c r="BJ88" s="704"/>
      <c r="BK88" s="833"/>
      <c r="BL88" s="836"/>
      <c r="BM88" s="808"/>
      <c r="BN88" s="840"/>
      <c r="BO88" s="704"/>
    </row>
    <row r="89" spans="1:68" ht="16.2" thickBot="1">
      <c r="A89" s="831"/>
      <c r="B89" s="831"/>
      <c r="C89" s="496"/>
      <c r="D89" s="497" t="str">
        <f t="shared" si="0"/>
        <v>WT 24h</v>
      </c>
      <c r="E89" s="497" t="s">
        <v>34</v>
      </c>
      <c r="F89" s="704">
        <v>26.122268364499185</v>
      </c>
      <c r="G89" s="846"/>
      <c r="H89" s="838"/>
      <c r="I89" s="838"/>
      <c r="J89" s="847"/>
      <c r="K89" s="848"/>
      <c r="L89" s="427"/>
      <c r="M89" s="427"/>
      <c r="N89" s="427"/>
      <c r="O89" s="496"/>
      <c r="P89" s="497" t="str">
        <f t="shared" si="1"/>
        <v>Set 1 24h</v>
      </c>
      <c r="Q89" s="497" t="s">
        <v>34</v>
      </c>
      <c r="R89" s="704">
        <v>28.549049162630368</v>
      </c>
      <c r="S89" s="846"/>
      <c r="T89" s="838"/>
      <c r="U89" s="847"/>
      <c r="V89" s="848"/>
      <c r="W89" s="704"/>
      <c r="X89" s="428"/>
      <c r="Y89" s="428"/>
      <c r="Z89" s="496"/>
      <c r="AA89" s="497" t="str">
        <f t="shared" si="2"/>
        <v>Set 2 24h</v>
      </c>
      <c r="AB89" s="497" t="s">
        <v>34</v>
      </c>
      <c r="AC89" s="704">
        <v>26.808872891435541</v>
      </c>
      <c r="AD89" s="846"/>
      <c r="AE89" s="838"/>
      <c r="AF89" s="847"/>
      <c r="AG89" s="848"/>
      <c r="AH89" s="428"/>
      <c r="AI89" s="428"/>
      <c r="AJ89" s="428"/>
      <c r="AK89" s="496"/>
      <c r="AL89" s="497" t="str">
        <f t="shared" si="3"/>
        <v>Set 4 24h</v>
      </c>
      <c r="AM89" s="497" t="s">
        <v>34</v>
      </c>
      <c r="AN89" s="704">
        <v>29.967029166264865</v>
      </c>
      <c r="AO89" s="846"/>
      <c r="AP89" s="838"/>
      <c r="AQ89" s="847"/>
      <c r="AR89" s="848"/>
      <c r="AS89" s="428"/>
      <c r="AT89" s="428"/>
      <c r="AU89" s="428"/>
      <c r="AV89" s="496"/>
      <c r="AW89" s="497" t="str">
        <f t="shared" si="4"/>
        <v>Set 5 24h</v>
      </c>
      <c r="AX89" s="497" t="s">
        <v>34</v>
      </c>
      <c r="AY89" s="704">
        <v>29.214823682576743</v>
      </c>
      <c r="AZ89" s="846"/>
      <c r="BA89" s="838"/>
      <c r="BB89" s="847"/>
      <c r="BC89" s="848"/>
      <c r="BD89" s="704"/>
      <c r="BE89" s="428"/>
      <c r="BF89" s="428"/>
      <c r="BG89" s="496"/>
      <c r="BH89" s="497" t="str">
        <f t="shared" si="5"/>
        <v>GFP 24h</v>
      </c>
      <c r="BI89" s="497" t="s">
        <v>34</v>
      </c>
      <c r="BJ89" s="704">
        <v>22.398614232932204</v>
      </c>
      <c r="BK89" s="846"/>
      <c r="BL89" s="838"/>
      <c r="BM89" s="847"/>
      <c r="BN89" s="848"/>
      <c r="BO89" s="704"/>
    </row>
    <row r="90" spans="1:68" ht="17.100000000000001" customHeight="1">
      <c r="A90" s="852" t="s">
        <v>15</v>
      </c>
      <c r="B90" s="852" t="str">
        <f>E90</f>
        <v>IFIT</v>
      </c>
      <c r="C90" s="449"/>
      <c r="D90" s="450" t="str">
        <f t="shared" si="0"/>
        <v>WT 24h</v>
      </c>
      <c r="E90" s="452" t="s">
        <v>35</v>
      </c>
      <c r="F90" s="704">
        <v>25.8768015705447</v>
      </c>
      <c r="G90" s="873">
        <f>AVERAGE(F90:F92)</f>
        <v>25.8768015705447</v>
      </c>
      <c r="H90" s="874">
        <f>G90-G45</f>
        <v>5.4052285522776948</v>
      </c>
      <c r="I90" s="874">
        <f>AVERAGE(H90:H98)</f>
        <v>5.215401730673725</v>
      </c>
      <c r="J90" s="875">
        <f>H90-I90</f>
        <v>0.1898268216039698</v>
      </c>
      <c r="K90" s="876">
        <f>2^-(J90)</f>
        <v>0.87671095373194685</v>
      </c>
      <c r="L90" s="427"/>
      <c r="M90" s="427"/>
      <c r="N90" s="427"/>
      <c r="O90" s="451"/>
      <c r="P90" s="452" t="str">
        <f t="shared" si="1"/>
        <v>Set 1 24h</v>
      </c>
      <c r="Q90" s="452" t="s">
        <v>35</v>
      </c>
      <c r="R90" s="704">
        <v>26.521411306298006</v>
      </c>
      <c r="S90" s="855">
        <f>AVERAGE(R90:R92)</f>
        <v>26.8998495494961</v>
      </c>
      <c r="T90" s="858">
        <f>S90-S45</f>
        <v>7.3783762327834594</v>
      </c>
      <c r="U90" s="862">
        <f>T90-I90</f>
        <v>2.1629745021097344</v>
      </c>
      <c r="V90" s="863">
        <f>2^-(U90)</f>
        <v>0.22329540952965868</v>
      </c>
      <c r="W90" s="704"/>
      <c r="X90" s="428"/>
      <c r="Y90" s="428"/>
      <c r="Z90" s="451"/>
      <c r="AA90" s="452" t="str">
        <f t="shared" si="2"/>
        <v>Set 2 24h</v>
      </c>
      <c r="AB90" s="452" t="s">
        <v>35</v>
      </c>
      <c r="AC90" s="704">
        <v>23.846902668387493</v>
      </c>
      <c r="AD90" s="855">
        <f>AVERAGE(AC90:AC92)</f>
        <v>23.720395402695868</v>
      </c>
      <c r="AE90" s="858">
        <f>AD90-AD45</f>
        <v>6.1907956227984045</v>
      </c>
      <c r="AF90" s="862">
        <f>AE90-I90</f>
        <v>0.97539389212467942</v>
      </c>
      <c r="AG90" s="863">
        <f>2^-(AF90)</f>
        <v>0.50860096620486972</v>
      </c>
      <c r="AH90" s="428"/>
      <c r="AI90" s="428"/>
      <c r="AJ90" s="428"/>
      <c r="AK90" s="451"/>
      <c r="AL90" s="452" t="str">
        <f t="shared" si="3"/>
        <v>Set 4 24h</v>
      </c>
      <c r="AM90" s="452" t="s">
        <v>35</v>
      </c>
      <c r="AN90" s="704">
        <v>27.357216397548157</v>
      </c>
      <c r="AO90" s="855">
        <f>AVERAGE(AN90:AN92)</f>
        <v>26.776199832526832</v>
      </c>
      <c r="AP90" s="858">
        <f>AO90-AO45</f>
        <v>6.4078933077378082</v>
      </c>
      <c r="AQ90" s="862">
        <f>AP90-I90</f>
        <v>1.1924915770640832</v>
      </c>
      <c r="AR90" s="863">
        <f>2^-(AQ90)</f>
        <v>0.43754655190818187</v>
      </c>
      <c r="AS90" s="428"/>
      <c r="AT90" s="428"/>
      <c r="AU90" s="428"/>
      <c r="AV90" s="451"/>
      <c r="AW90" s="452" t="str">
        <f t="shared" si="4"/>
        <v>Set 5 24h</v>
      </c>
      <c r="AX90" s="452" t="s">
        <v>35</v>
      </c>
      <c r="AY90" s="704"/>
      <c r="AZ90" s="855">
        <f>AVERAGE(AY90:AY92)</f>
        <v>26.785990902067887</v>
      </c>
      <c r="BA90" s="858">
        <f>AZ90-AZ45</f>
        <v>6.4176843772788636</v>
      </c>
      <c r="BB90" s="862">
        <f>BA90-I90</f>
        <v>1.2022826466051386</v>
      </c>
      <c r="BC90" s="863">
        <f>2^-(BB90)</f>
        <v>0.4345871292635648</v>
      </c>
      <c r="BD90" s="704"/>
      <c r="BE90" s="428"/>
      <c r="BF90" s="428"/>
      <c r="BG90" s="451"/>
      <c r="BH90" s="452" t="str">
        <f t="shared" si="5"/>
        <v>GFP 24h</v>
      </c>
      <c r="BI90" s="452" t="s">
        <v>35</v>
      </c>
      <c r="BJ90" s="704">
        <v>22.054781049411829</v>
      </c>
      <c r="BK90" s="855">
        <f>AVERAGE(BJ90:BJ92)</f>
        <v>22.054781049411829</v>
      </c>
      <c r="BL90" s="858">
        <f>BK90-BK45</f>
        <v>4.1626350301068236</v>
      </c>
      <c r="BM90" s="862">
        <f>BL90-I90</f>
        <v>-1.0527667005669015</v>
      </c>
      <c r="BN90" s="863">
        <f>2^-(BM90)</f>
        <v>2.0745043761510771</v>
      </c>
      <c r="BO90" s="704"/>
    </row>
    <row r="91" spans="1:68">
      <c r="A91" s="853"/>
      <c r="B91" s="853"/>
      <c r="C91" s="451"/>
      <c r="D91" s="452" t="str">
        <f t="shared" si="0"/>
        <v>WT 24h</v>
      </c>
      <c r="E91" s="452" t="s">
        <v>35</v>
      </c>
      <c r="F91" s="704"/>
      <c r="G91" s="856"/>
      <c r="H91" s="859"/>
      <c r="I91" s="859"/>
      <c r="J91" s="811"/>
      <c r="K91" s="850"/>
      <c r="L91" s="427"/>
      <c r="M91" s="427"/>
      <c r="N91" s="427"/>
      <c r="O91" s="451"/>
      <c r="P91" s="452" t="str">
        <f t="shared" si="1"/>
        <v>Set 1 24h</v>
      </c>
      <c r="Q91" s="452" t="s">
        <v>35</v>
      </c>
      <c r="R91" s="704">
        <v>27.16625338831777</v>
      </c>
      <c r="S91" s="856"/>
      <c r="T91" s="859"/>
      <c r="U91" s="811"/>
      <c r="V91" s="850"/>
      <c r="W91" s="704"/>
      <c r="X91" s="428"/>
      <c r="Y91" s="428"/>
      <c r="Z91" s="451"/>
      <c r="AA91" s="452" t="str">
        <f t="shared" si="2"/>
        <v>Set 2 24h</v>
      </c>
      <c r="AB91" s="452" t="s">
        <v>35</v>
      </c>
      <c r="AC91" s="704">
        <v>23.546906613622951</v>
      </c>
      <c r="AD91" s="856"/>
      <c r="AE91" s="859"/>
      <c r="AF91" s="811"/>
      <c r="AG91" s="850"/>
      <c r="AH91" s="428"/>
      <c r="AI91" s="428"/>
      <c r="AK91" s="451"/>
      <c r="AL91" s="452" t="str">
        <f t="shared" si="3"/>
        <v>Set 4 24h</v>
      </c>
      <c r="AM91" s="452" t="s">
        <v>35</v>
      </c>
      <c r="AN91" s="704">
        <v>26.261475065338558</v>
      </c>
      <c r="AO91" s="856"/>
      <c r="AP91" s="859"/>
      <c r="AQ91" s="811"/>
      <c r="AR91" s="850"/>
      <c r="AS91" s="428"/>
      <c r="AT91" s="428"/>
      <c r="AU91" s="428"/>
      <c r="AV91" s="451"/>
      <c r="AW91" s="452" t="str">
        <f t="shared" si="4"/>
        <v>Set 5 24h</v>
      </c>
      <c r="AX91" s="452" t="s">
        <v>35</v>
      </c>
      <c r="AY91" s="704"/>
      <c r="AZ91" s="856"/>
      <c r="BA91" s="859"/>
      <c r="BB91" s="811"/>
      <c r="BC91" s="850"/>
      <c r="BD91" s="704"/>
      <c r="BE91" s="428"/>
      <c r="BF91" s="428"/>
      <c r="BG91" s="451"/>
      <c r="BH91" s="452" t="str">
        <f t="shared" si="5"/>
        <v>GFP 24h</v>
      </c>
      <c r="BI91" s="452" t="s">
        <v>35</v>
      </c>
      <c r="BJ91" s="704"/>
      <c r="BK91" s="856"/>
      <c r="BL91" s="859"/>
      <c r="BM91" s="811"/>
      <c r="BN91" s="850"/>
      <c r="BO91" s="704"/>
    </row>
    <row r="92" spans="1:68">
      <c r="A92" s="853"/>
      <c r="B92" s="853"/>
      <c r="C92" s="453"/>
      <c r="D92" s="454" t="str">
        <f t="shared" si="0"/>
        <v>WT 24h</v>
      </c>
      <c r="E92" s="454" t="s">
        <v>35</v>
      </c>
      <c r="F92" s="704"/>
      <c r="G92" s="857"/>
      <c r="H92" s="860"/>
      <c r="I92" s="859"/>
      <c r="J92" s="812"/>
      <c r="K92" s="851"/>
      <c r="L92" s="427"/>
      <c r="M92" s="427"/>
      <c r="N92" s="427"/>
      <c r="O92" s="453"/>
      <c r="P92" s="454" t="str">
        <f t="shared" si="1"/>
        <v>Set 1 24h</v>
      </c>
      <c r="Q92" s="454" t="s">
        <v>35</v>
      </c>
      <c r="R92" s="704">
        <v>27.011883953872527</v>
      </c>
      <c r="S92" s="857"/>
      <c r="T92" s="860"/>
      <c r="U92" s="812"/>
      <c r="V92" s="851"/>
      <c r="W92" s="704"/>
      <c r="X92" s="428"/>
      <c r="Y92" s="428"/>
      <c r="Z92" s="453"/>
      <c r="AA92" s="454" t="str">
        <f t="shared" si="2"/>
        <v>Set 2 24h</v>
      </c>
      <c r="AB92" s="454" t="s">
        <v>35</v>
      </c>
      <c r="AC92" s="704">
        <v>23.767376926077155</v>
      </c>
      <c r="AD92" s="857"/>
      <c r="AE92" s="860"/>
      <c r="AF92" s="812"/>
      <c r="AG92" s="851"/>
      <c r="AH92" s="428"/>
      <c r="AI92" s="428"/>
      <c r="AJ92" s="428"/>
      <c r="AK92" s="453"/>
      <c r="AL92" s="454" t="str">
        <f t="shared" si="3"/>
        <v>Set 4 24h</v>
      </c>
      <c r="AM92" s="454" t="s">
        <v>35</v>
      </c>
      <c r="AN92" s="704">
        <v>26.709908034693782</v>
      </c>
      <c r="AO92" s="857"/>
      <c r="AP92" s="860"/>
      <c r="AQ92" s="812"/>
      <c r="AR92" s="851"/>
      <c r="AS92" s="428"/>
      <c r="AT92" s="428"/>
      <c r="AU92" s="428"/>
      <c r="AV92" s="453"/>
      <c r="AW92" s="454" t="str">
        <f t="shared" si="4"/>
        <v>Set 5 24h</v>
      </c>
      <c r="AX92" s="454" t="s">
        <v>35</v>
      </c>
      <c r="AY92" s="704">
        <v>26.785990902067887</v>
      </c>
      <c r="AZ92" s="857"/>
      <c r="BA92" s="860"/>
      <c r="BB92" s="812"/>
      <c r="BC92" s="851"/>
      <c r="BD92" s="704"/>
      <c r="BE92" s="428"/>
      <c r="BF92" s="428"/>
      <c r="BG92" s="453"/>
      <c r="BH92" s="454" t="str">
        <f t="shared" si="5"/>
        <v>GFP 24h</v>
      </c>
      <c r="BI92" s="454" t="s">
        <v>35</v>
      </c>
      <c r="BJ92" s="704"/>
      <c r="BK92" s="857"/>
      <c r="BL92" s="860"/>
      <c r="BM92" s="812"/>
      <c r="BN92" s="851"/>
      <c r="BO92" s="704"/>
    </row>
    <row r="93" spans="1:68">
      <c r="A93" s="853"/>
      <c r="B93" s="853"/>
      <c r="C93" s="455"/>
      <c r="D93" s="456" t="str">
        <f t="shared" si="0"/>
        <v>WT 24h</v>
      </c>
      <c r="E93" s="456" t="s">
        <v>35</v>
      </c>
      <c r="F93" s="704"/>
      <c r="G93" s="872">
        <f>AVERAGE(F93:F95)</f>
        <v>25.639205914697683</v>
      </c>
      <c r="H93" s="871">
        <f>G93-G48</f>
        <v>4.9760952386652839</v>
      </c>
      <c r="I93" s="859"/>
      <c r="J93" s="810">
        <f>H93-I90</f>
        <v>-0.23930649200844112</v>
      </c>
      <c r="K93" s="849">
        <f>2^-(J93)</f>
        <v>1.1804250910127834</v>
      </c>
      <c r="L93" s="427"/>
      <c r="M93" s="427"/>
      <c r="N93" s="427"/>
      <c r="O93" s="455"/>
      <c r="P93" s="456" t="str">
        <f t="shared" si="1"/>
        <v>Set 1 24h</v>
      </c>
      <c r="Q93" s="456" t="s">
        <v>35</v>
      </c>
      <c r="R93" s="704"/>
      <c r="S93" s="872">
        <f>AVERAGE(R93:R95)</f>
        <v>24.431160178792396</v>
      </c>
      <c r="T93" s="871">
        <f>S93-S48</f>
        <v>6.7824509238397326</v>
      </c>
      <c r="U93" s="810">
        <f>T93-I90</f>
        <v>1.5670491931660075</v>
      </c>
      <c r="V93" s="849">
        <f>2^-(U93)</f>
        <v>0.33749798804287862</v>
      </c>
      <c r="W93" s="704"/>
      <c r="X93" s="428"/>
      <c r="Y93" s="428"/>
      <c r="Z93" s="455"/>
      <c r="AA93" s="456" t="str">
        <f t="shared" si="2"/>
        <v>Set 2 24h</v>
      </c>
      <c r="AB93" s="456" t="s">
        <v>35</v>
      </c>
      <c r="AC93" s="704">
        <v>23.306254792792849</v>
      </c>
      <c r="AD93" s="872">
        <f>AVERAGE(AC93:AC95)</f>
        <v>23.496813762969865</v>
      </c>
      <c r="AE93" s="871">
        <f>AD93-AD48</f>
        <v>5.6380857079382167</v>
      </c>
      <c r="AF93" s="810">
        <f>AE93-I90</f>
        <v>0.42268397726449169</v>
      </c>
      <c r="AG93" s="849">
        <f>2^-(AF93)</f>
        <v>0.74603541470613477</v>
      </c>
      <c r="AH93" s="428"/>
      <c r="AI93" s="428"/>
      <c r="AJ93" s="428"/>
      <c r="AK93" s="455"/>
      <c r="AL93" s="456" t="str">
        <f t="shared" si="3"/>
        <v>Set 4 24h</v>
      </c>
      <c r="AM93" s="456" t="s">
        <v>35</v>
      </c>
      <c r="AN93" s="704">
        <v>27.076705862023459</v>
      </c>
      <c r="AO93" s="872">
        <f>AVERAGE(AN93:AN95)</f>
        <v>27.389080636992947</v>
      </c>
      <c r="AP93" s="871">
        <f>AO93-AO48</f>
        <v>7.0682357737715726</v>
      </c>
      <c r="AQ93" s="810">
        <f>AP93-I90</f>
        <v>1.8528340430978476</v>
      </c>
      <c r="AR93" s="849">
        <f>2^-(AQ93)</f>
        <v>0.27684799082223627</v>
      </c>
      <c r="AS93" s="428"/>
      <c r="AT93" s="428"/>
      <c r="AU93" s="428"/>
      <c r="AV93" s="455"/>
      <c r="AW93" s="456" t="str">
        <f t="shared" si="4"/>
        <v>Set 5 24h</v>
      </c>
      <c r="AX93" s="456" t="s">
        <v>35</v>
      </c>
      <c r="AY93" s="704">
        <v>27.851486717065264</v>
      </c>
      <c r="AZ93" s="872">
        <f>AVERAGE(AY93:AY95)</f>
        <v>27.851486717065264</v>
      </c>
      <c r="BA93" s="871">
        <f>AZ93-AZ48</f>
        <v>7.5306418538438891</v>
      </c>
      <c r="BB93" s="810">
        <f>BA93-I90</f>
        <v>2.315240123170164</v>
      </c>
      <c r="BC93" s="849">
        <f>2^-(BB93)</f>
        <v>0.20092930208914486</v>
      </c>
      <c r="BD93" s="704"/>
      <c r="BE93" s="428"/>
      <c r="BF93" s="428"/>
      <c r="BG93" s="455"/>
      <c r="BH93" s="456" t="str">
        <f t="shared" si="5"/>
        <v>GFP 24h</v>
      </c>
      <c r="BI93" s="456" t="s">
        <v>35</v>
      </c>
      <c r="BJ93" s="704"/>
      <c r="BK93" s="872">
        <f>AVERAGE(BJ93:BJ95)</f>
        <v>22.596621095065622</v>
      </c>
      <c r="BL93" s="871">
        <f>BK93-BK48</f>
        <v>4.1341288931742532</v>
      </c>
      <c r="BM93" s="810">
        <f>BL93-I90</f>
        <v>-1.0812728374994718</v>
      </c>
      <c r="BN93" s="849">
        <f>2^-(BM93)</f>
        <v>2.1159020414820411</v>
      </c>
      <c r="BO93" s="704"/>
    </row>
    <row r="94" spans="1:68">
      <c r="A94" s="853"/>
      <c r="B94" s="853"/>
      <c r="C94" s="457"/>
      <c r="D94" s="458" t="str">
        <f t="shared" si="0"/>
        <v>WT 24h</v>
      </c>
      <c r="E94" s="458" t="s">
        <v>35</v>
      </c>
      <c r="F94" s="704"/>
      <c r="G94" s="856"/>
      <c r="H94" s="859"/>
      <c r="I94" s="859"/>
      <c r="J94" s="811"/>
      <c r="K94" s="850"/>
      <c r="L94" s="427"/>
      <c r="M94" s="427"/>
      <c r="N94" s="427"/>
      <c r="O94" s="457"/>
      <c r="P94" s="458" t="str">
        <f t="shared" si="1"/>
        <v>Set 1 24h</v>
      </c>
      <c r="Q94" s="458" t="s">
        <v>35</v>
      </c>
      <c r="R94" s="704">
        <v>24.431160178792396</v>
      </c>
      <c r="S94" s="856"/>
      <c r="T94" s="859"/>
      <c r="U94" s="811"/>
      <c r="V94" s="850"/>
      <c r="W94" s="704"/>
      <c r="X94" s="428"/>
      <c r="Y94" s="428"/>
      <c r="Z94" s="457"/>
      <c r="AA94" s="458" t="str">
        <f t="shared" si="2"/>
        <v>Set 2 24h</v>
      </c>
      <c r="AB94" s="458" t="s">
        <v>35</v>
      </c>
      <c r="AC94" s="704">
        <v>23.911596915846374</v>
      </c>
      <c r="AD94" s="856"/>
      <c r="AE94" s="859"/>
      <c r="AF94" s="811"/>
      <c r="AG94" s="850"/>
      <c r="AH94" s="428"/>
      <c r="AI94" s="428"/>
      <c r="AJ94" s="428"/>
      <c r="AK94" s="457"/>
      <c r="AL94" s="458" t="str">
        <f t="shared" si="3"/>
        <v>Set 4 24h</v>
      </c>
      <c r="AM94" s="458" t="s">
        <v>35</v>
      </c>
      <c r="AN94" s="704">
        <v>26.976094050042356</v>
      </c>
      <c r="AO94" s="856"/>
      <c r="AP94" s="859"/>
      <c r="AQ94" s="811"/>
      <c r="AR94" s="850"/>
      <c r="AS94" s="428"/>
      <c r="AT94" s="428"/>
      <c r="AU94" s="428"/>
      <c r="AV94" s="457"/>
      <c r="AW94" s="458" t="str">
        <f t="shared" si="4"/>
        <v>Set 5 24h</v>
      </c>
      <c r="AX94" s="458" t="s">
        <v>35</v>
      </c>
      <c r="AY94" s="704"/>
      <c r="AZ94" s="856"/>
      <c r="BA94" s="859"/>
      <c r="BB94" s="811"/>
      <c r="BC94" s="850"/>
      <c r="BD94" s="704"/>
      <c r="BE94" s="428"/>
      <c r="BF94" s="428"/>
      <c r="BG94" s="457"/>
      <c r="BH94" s="458" t="str">
        <f t="shared" si="5"/>
        <v>GFP 24h</v>
      </c>
      <c r="BI94" s="458" t="s">
        <v>35</v>
      </c>
      <c r="BJ94" s="704">
        <v>22.983733139125782</v>
      </c>
      <c r="BK94" s="856"/>
      <c r="BL94" s="859"/>
      <c r="BM94" s="811"/>
      <c r="BN94" s="850"/>
      <c r="BO94" s="704"/>
    </row>
    <row r="95" spans="1:68">
      <c r="A95" s="853"/>
      <c r="B95" s="853"/>
      <c r="C95" s="459"/>
      <c r="D95" s="460" t="str">
        <f t="shared" si="0"/>
        <v>WT 24h</v>
      </c>
      <c r="E95" s="460" t="s">
        <v>35</v>
      </c>
      <c r="F95" s="704">
        <v>25.639205914697683</v>
      </c>
      <c r="G95" s="857"/>
      <c r="H95" s="860"/>
      <c r="I95" s="859"/>
      <c r="J95" s="812"/>
      <c r="K95" s="851"/>
      <c r="L95" s="427"/>
      <c r="M95" s="427"/>
      <c r="N95" s="427"/>
      <c r="O95" s="459"/>
      <c r="P95" s="460" t="str">
        <f t="shared" si="1"/>
        <v>Set 1 24h</v>
      </c>
      <c r="Q95" s="460" t="s">
        <v>35</v>
      </c>
      <c r="R95" s="704"/>
      <c r="S95" s="857"/>
      <c r="T95" s="860"/>
      <c r="U95" s="812"/>
      <c r="V95" s="851"/>
      <c r="W95" s="704"/>
      <c r="X95" s="428"/>
      <c r="Y95" s="428"/>
      <c r="Z95" s="459"/>
      <c r="AA95" s="460" t="str">
        <f t="shared" si="2"/>
        <v>Set 2 24h</v>
      </c>
      <c r="AB95" s="460" t="s">
        <v>35</v>
      </c>
      <c r="AC95" s="704">
        <v>23.27258958027037</v>
      </c>
      <c r="AD95" s="857"/>
      <c r="AE95" s="860"/>
      <c r="AF95" s="812"/>
      <c r="AG95" s="851"/>
      <c r="AH95" s="428"/>
      <c r="AI95" s="428"/>
      <c r="AJ95" s="428"/>
      <c r="AK95" s="459"/>
      <c r="AL95" s="460" t="str">
        <f t="shared" si="3"/>
        <v>Set 4 24h</v>
      </c>
      <c r="AM95" s="460" t="s">
        <v>35</v>
      </c>
      <c r="AN95" s="704">
        <v>28.114441998913037</v>
      </c>
      <c r="AO95" s="857"/>
      <c r="AP95" s="860"/>
      <c r="AQ95" s="812"/>
      <c r="AR95" s="851"/>
      <c r="AS95" s="428"/>
      <c r="AT95" s="428"/>
      <c r="AU95" s="428"/>
      <c r="AV95" s="459"/>
      <c r="AW95" s="460" t="str">
        <f t="shared" si="4"/>
        <v>Set 5 24h</v>
      </c>
      <c r="AX95" s="460" t="s">
        <v>35</v>
      </c>
      <c r="AY95" s="704"/>
      <c r="AZ95" s="857"/>
      <c r="BA95" s="860"/>
      <c r="BB95" s="812"/>
      <c r="BC95" s="851"/>
      <c r="BD95" s="704"/>
      <c r="BE95" s="428"/>
      <c r="BF95" s="428"/>
      <c r="BG95" s="459"/>
      <c r="BH95" s="460" t="str">
        <f t="shared" si="5"/>
        <v>GFP 24h</v>
      </c>
      <c r="BI95" s="460" t="s">
        <v>35</v>
      </c>
      <c r="BJ95" s="704">
        <v>22.209509051005462</v>
      </c>
      <c r="BK95" s="857"/>
      <c r="BL95" s="860"/>
      <c r="BM95" s="812"/>
      <c r="BN95" s="851"/>
      <c r="BO95" s="704"/>
    </row>
    <row r="96" spans="1:68">
      <c r="A96" s="853"/>
      <c r="B96" s="853"/>
      <c r="C96" s="461"/>
      <c r="D96" s="462" t="str">
        <f t="shared" si="0"/>
        <v>WT 24h</v>
      </c>
      <c r="E96" s="462" t="s">
        <v>35</v>
      </c>
      <c r="F96" s="704"/>
      <c r="G96" s="856">
        <f>AVERAGE(F96:F98)</f>
        <v>25.871116199891837</v>
      </c>
      <c r="H96" s="871">
        <f>G96-G51</f>
        <v>5.2648814010781955</v>
      </c>
      <c r="I96" s="859"/>
      <c r="J96" s="811">
        <f>H96-I90</f>
        <v>4.9479670404470433E-2</v>
      </c>
      <c r="K96" s="849">
        <f>2^-(J96)</f>
        <v>0.96628477117497291</v>
      </c>
      <c r="L96" s="427"/>
      <c r="M96" s="427"/>
      <c r="N96" s="427"/>
      <c r="O96" s="461"/>
      <c r="P96" s="462" t="str">
        <f t="shared" si="1"/>
        <v>Set 1 24h</v>
      </c>
      <c r="Q96" s="462" t="s">
        <v>35</v>
      </c>
      <c r="R96" s="704"/>
      <c r="S96" s="856">
        <f>AVERAGE(R96:R98)</f>
        <v>26.933037850697488</v>
      </c>
      <c r="T96" s="871">
        <f>S96-S51</f>
        <v>7.6912206870813655</v>
      </c>
      <c r="U96" s="811">
        <f>T96-I90</f>
        <v>2.4758189564076405</v>
      </c>
      <c r="V96" s="850">
        <f>2^-(U96)</f>
        <v>0.17976462382717531</v>
      </c>
      <c r="W96" s="704"/>
      <c r="X96" s="428"/>
      <c r="Y96" s="428"/>
      <c r="Z96" s="461"/>
      <c r="AA96" s="462" t="str">
        <f t="shared" si="2"/>
        <v>Set 2 24h</v>
      </c>
      <c r="AB96" s="462" t="s">
        <v>35</v>
      </c>
      <c r="AC96" s="704">
        <v>25.822628425841323</v>
      </c>
      <c r="AD96" s="856">
        <f>AVERAGE(AC96:AC98)</f>
        <v>25.313696847061767</v>
      </c>
      <c r="AE96" s="871">
        <f>AD96-AD51</f>
        <v>6.0499422486350021</v>
      </c>
      <c r="AF96" s="811">
        <f>AE96-I90</f>
        <v>0.83454051796127704</v>
      </c>
      <c r="AG96" s="850">
        <f>2^-(AF96)</f>
        <v>0.56076160680058895</v>
      </c>
      <c r="AH96" s="428"/>
      <c r="AI96" s="428"/>
      <c r="AJ96" s="428"/>
      <c r="AK96" s="461"/>
      <c r="AL96" s="462" t="str">
        <f t="shared" si="3"/>
        <v>Set 4 24h</v>
      </c>
      <c r="AM96" s="462" t="s">
        <v>35</v>
      </c>
      <c r="AN96" s="704">
        <v>26.747779067205329</v>
      </c>
      <c r="AO96" s="856">
        <f>AVERAGE(AN96:AN98)</f>
        <v>26.658441649211557</v>
      </c>
      <c r="AP96" s="871">
        <f>AO96-AO51</f>
        <v>7.4206834402134305</v>
      </c>
      <c r="AQ96" s="811">
        <f>AP96-I90</f>
        <v>2.2052817095397055</v>
      </c>
      <c r="AR96" s="850">
        <f>2^-(AQ96)</f>
        <v>0.2168423256826503</v>
      </c>
      <c r="AS96" s="428"/>
      <c r="AT96" s="428"/>
      <c r="AU96" s="428"/>
      <c r="AV96" s="461"/>
      <c r="AW96" s="462" t="str">
        <f t="shared" si="4"/>
        <v>Set 5 24h</v>
      </c>
      <c r="AX96" s="462" t="s">
        <v>35</v>
      </c>
      <c r="AY96" s="704"/>
      <c r="AZ96" s="856">
        <f>AVERAGE(AY96:AY98)</f>
        <v>26.354829489642178</v>
      </c>
      <c r="BA96" s="871">
        <f>AZ96-AZ51</f>
        <v>7.1170712806440513</v>
      </c>
      <c r="BB96" s="811">
        <f>BA96-I90</f>
        <v>1.9016695499703262</v>
      </c>
      <c r="BC96" s="850">
        <f>2^-(BB96)</f>
        <v>0.26763346916825126</v>
      </c>
      <c r="BD96" s="704"/>
      <c r="BE96" s="428"/>
      <c r="BF96" s="428"/>
      <c r="BG96" s="461"/>
      <c r="BH96" s="462" t="str">
        <f t="shared" si="5"/>
        <v>GFP 24h</v>
      </c>
      <c r="BI96" s="462" t="s">
        <v>35</v>
      </c>
      <c r="BJ96" s="704"/>
      <c r="BK96" s="856">
        <f>AVERAGE(BJ96:BJ98)</f>
        <v>22.880939947548519</v>
      </c>
      <c r="BL96" s="871">
        <f>BK96-BK51</f>
        <v>4.310318293903233</v>
      </c>
      <c r="BM96" s="811">
        <f>BL96-I90</f>
        <v>-0.90508343677049208</v>
      </c>
      <c r="BN96" s="850">
        <f>2^-(BM96)</f>
        <v>1.8726527946682321</v>
      </c>
      <c r="BO96" s="704"/>
    </row>
    <row r="97" spans="1:67">
      <c r="A97" s="853"/>
      <c r="B97" s="853"/>
      <c r="C97" s="451"/>
      <c r="D97" s="452" t="str">
        <f t="shared" si="0"/>
        <v>WT 24h</v>
      </c>
      <c r="E97" s="452" t="s">
        <v>35</v>
      </c>
      <c r="F97" s="704">
        <v>25.871116199891837</v>
      </c>
      <c r="G97" s="856"/>
      <c r="H97" s="859"/>
      <c r="I97" s="859"/>
      <c r="J97" s="811"/>
      <c r="K97" s="850"/>
      <c r="L97" s="427"/>
      <c r="M97" s="427"/>
      <c r="N97" s="427"/>
      <c r="O97" s="451"/>
      <c r="P97" s="452" t="str">
        <f t="shared" si="1"/>
        <v>Set 1 24h</v>
      </c>
      <c r="Q97" s="452" t="s">
        <v>35</v>
      </c>
      <c r="R97" s="704">
        <v>26.933037850697488</v>
      </c>
      <c r="S97" s="856"/>
      <c r="T97" s="859"/>
      <c r="U97" s="811"/>
      <c r="V97" s="850"/>
      <c r="W97" s="704"/>
      <c r="X97" s="428"/>
      <c r="Y97" s="428"/>
      <c r="Z97" s="451"/>
      <c r="AA97" s="452" t="str">
        <f t="shared" si="2"/>
        <v>Set 2 24h</v>
      </c>
      <c r="AB97" s="452" t="s">
        <v>35</v>
      </c>
      <c r="AC97" s="704">
        <v>25.002201197265059</v>
      </c>
      <c r="AD97" s="856"/>
      <c r="AE97" s="859"/>
      <c r="AF97" s="811"/>
      <c r="AG97" s="850"/>
      <c r="AH97" s="428"/>
      <c r="AI97" s="428"/>
      <c r="AJ97" s="428"/>
      <c r="AK97" s="451"/>
      <c r="AL97" s="452" t="str">
        <f t="shared" si="3"/>
        <v>Set 4 24h</v>
      </c>
      <c r="AM97" s="452" t="s">
        <v>35</v>
      </c>
      <c r="AN97" s="704">
        <v>26.358161411363653</v>
      </c>
      <c r="AO97" s="856"/>
      <c r="AP97" s="859"/>
      <c r="AQ97" s="811"/>
      <c r="AR97" s="850"/>
      <c r="AS97" s="428"/>
      <c r="AT97" s="428"/>
      <c r="AU97" s="428"/>
      <c r="AV97" s="451"/>
      <c r="AW97" s="452" t="str">
        <f t="shared" si="4"/>
        <v>Set 5 24h</v>
      </c>
      <c r="AX97" s="452" t="s">
        <v>35</v>
      </c>
      <c r="AY97" s="704"/>
      <c r="AZ97" s="856"/>
      <c r="BA97" s="859"/>
      <c r="BB97" s="811"/>
      <c r="BC97" s="850"/>
      <c r="BD97" s="704"/>
      <c r="BE97" s="428"/>
      <c r="BF97" s="428"/>
      <c r="BG97" s="451"/>
      <c r="BH97" s="452" t="str">
        <f t="shared" si="5"/>
        <v>GFP 24h</v>
      </c>
      <c r="BI97" s="452" t="s">
        <v>35</v>
      </c>
      <c r="BJ97" s="704"/>
      <c r="BK97" s="856"/>
      <c r="BL97" s="859"/>
      <c r="BM97" s="811"/>
      <c r="BN97" s="850"/>
      <c r="BO97" s="704"/>
    </row>
    <row r="98" spans="1:67" ht="16.2" thickBot="1">
      <c r="A98" s="854"/>
      <c r="B98" s="854"/>
      <c r="C98" s="463"/>
      <c r="D98" s="464" t="str">
        <f t="shared" si="0"/>
        <v>WT 24h</v>
      </c>
      <c r="E98" s="464" t="s">
        <v>35</v>
      </c>
      <c r="F98" s="704"/>
      <c r="G98" s="870"/>
      <c r="H98" s="861"/>
      <c r="I98" s="861"/>
      <c r="J98" s="864"/>
      <c r="K98" s="865"/>
      <c r="L98" s="427"/>
      <c r="M98" s="427"/>
      <c r="N98" s="427"/>
      <c r="O98" s="463"/>
      <c r="P98" s="464" t="str">
        <f t="shared" si="1"/>
        <v>Set 1 24h</v>
      </c>
      <c r="Q98" s="464" t="s">
        <v>35</v>
      </c>
      <c r="R98" s="704"/>
      <c r="S98" s="870"/>
      <c r="T98" s="861"/>
      <c r="U98" s="864"/>
      <c r="V98" s="865"/>
      <c r="W98" s="704"/>
      <c r="X98" s="428"/>
      <c r="Y98" s="428"/>
      <c r="Z98" s="463"/>
      <c r="AA98" s="464" t="str">
        <f t="shared" si="2"/>
        <v>Set 2 24h</v>
      </c>
      <c r="AB98" s="464" t="s">
        <v>35</v>
      </c>
      <c r="AC98" s="704">
        <v>25.116260918078922</v>
      </c>
      <c r="AD98" s="870"/>
      <c r="AE98" s="861"/>
      <c r="AF98" s="864"/>
      <c r="AG98" s="865"/>
      <c r="AH98" s="428"/>
      <c r="AI98" s="428"/>
      <c r="AJ98" s="428"/>
      <c r="AK98" s="463"/>
      <c r="AL98" s="464" t="str">
        <f t="shared" si="3"/>
        <v>Set 4 24h</v>
      </c>
      <c r="AM98" s="464" t="s">
        <v>35</v>
      </c>
      <c r="AN98" s="704">
        <v>26.869384469065693</v>
      </c>
      <c r="AO98" s="870"/>
      <c r="AP98" s="861"/>
      <c r="AQ98" s="864"/>
      <c r="AR98" s="865"/>
      <c r="AS98" s="428"/>
      <c r="AT98" s="428"/>
      <c r="AU98" s="428"/>
      <c r="AV98" s="463"/>
      <c r="AW98" s="464" t="str">
        <f t="shared" si="4"/>
        <v>Set 5 24h</v>
      </c>
      <c r="AX98" s="464" t="s">
        <v>35</v>
      </c>
      <c r="AY98" s="704">
        <v>26.354829489642178</v>
      </c>
      <c r="AZ98" s="870"/>
      <c r="BA98" s="861"/>
      <c r="BB98" s="864"/>
      <c r="BC98" s="865"/>
      <c r="BD98" s="704"/>
      <c r="BE98" s="428"/>
      <c r="BF98" s="428"/>
      <c r="BG98" s="463"/>
      <c r="BH98" s="464" t="str">
        <f t="shared" si="5"/>
        <v>GFP 24h</v>
      </c>
      <c r="BI98" s="464" t="s">
        <v>35</v>
      </c>
      <c r="BJ98" s="704">
        <v>22.880939947548519</v>
      </c>
      <c r="BK98" s="870"/>
      <c r="BL98" s="861"/>
      <c r="BM98" s="864"/>
      <c r="BN98" s="865"/>
      <c r="BO98" s="704"/>
    </row>
    <row r="99" spans="1:67">
      <c r="A99" s="1"/>
      <c r="B99" s="1"/>
      <c r="C99" s="1"/>
      <c r="D99" s="1"/>
      <c r="E99" s="1"/>
      <c r="F99" s="1"/>
      <c r="G99" s="1"/>
      <c r="H99" s="1"/>
      <c r="I99" s="1"/>
      <c r="J99" s="1"/>
      <c r="K99" s="1"/>
      <c r="L99" s="1"/>
      <c r="M99" s="1"/>
      <c r="N99" s="1"/>
      <c r="O99" s="1"/>
      <c r="P99" s="1"/>
      <c r="Q99" s="1"/>
      <c r="R99" s="1"/>
      <c r="S99" s="1"/>
      <c r="T99" s="1"/>
      <c r="U99" s="1"/>
      <c r="V99" s="1"/>
      <c r="Z99" s="1"/>
      <c r="AA99" s="1"/>
      <c r="AB99" s="1"/>
      <c r="AC99" s="1"/>
      <c r="AD99" s="1"/>
      <c r="AE99" s="1"/>
      <c r="AF99" s="1"/>
      <c r="AG99" s="1"/>
      <c r="AK99" s="1"/>
      <c r="AL99" s="1"/>
      <c r="AM99" s="1"/>
      <c r="AN99" s="1"/>
      <c r="AO99" s="1"/>
      <c r="AP99" s="1"/>
      <c r="AQ99" s="1"/>
      <c r="AR99" s="1"/>
      <c r="AV99" s="1"/>
      <c r="AW99" s="1"/>
      <c r="AX99" s="1"/>
      <c r="AY99" s="1"/>
      <c r="AZ99" s="1"/>
      <c r="BA99" s="1"/>
      <c r="BB99" s="1"/>
      <c r="BC99" s="1"/>
      <c r="BG99" s="1"/>
      <c r="BH99" s="1"/>
      <c r="BI99" s="1"/>
      <c r="BJ99" s="1"/>
      <c r="BK99" s="1"/>
      <c r="BL99" s="1"/>
      <c r="BM99" s="1"/>
      <c r="BN99" s="1"/>
    </row>
    <row r="100" spans="1:67" ht="16.2" thickBot="1">
      <c r="A100" s="1"/>
      <c r="B100" s="1"/>
      <c r="C100" s="1"/>
      <c r="D100" s="1"/>
      <c r="E100" s="1"/>
      <c r="F100" s="1"/>
      <c r="G100" s="1"/>
      <c r="H100" s="1"/>
      <c r="I100" s="1"/>
      <c r="J100" s="1"/>
      <c r="K100" s="1"/>
      <c r="L100" s="1"/>
      <c r="M100" s="1"/>
      <c r="N100" s="1"/>
      <c r="O100" s="1"/>
      <c r="P100" s="1"/>
      <c r="Q100" s="1"/>
      <c r="R100" s="1"/>
      <c r="S100" s="1"/>
      <c r="T100" s="1"/>
      <c r="U100" s="1"/>
      <c r="V100" s="1"/>
      <c r="Z100" s="1"/>
      <c r="AA100" s="1"/>
      <c r="AB100" s="1"/>
      <c r="AC100" s="1"/>
      <c r="AD100" s="1"/>
      <c r="AE100" s="1"/>
      <c r="AF100" s="1"/>
      <c r="AG100" s="1"/>
      <c r="AK100" s="1"/>
      <c r="AL100" s="1"/>
      <c r="AM100" s="1"/>
      <c r="AN100" s="1"/>
      <c r="AO100" s="1"/>
      <c r="AP100" s="1"/>
      <c r="AQ100" s="1"/>
      <c r="AR100" s="1"/>
      <c r="AV100" s="1"/>
      <c r="AW100" s="1"/>
      <c r="AX100" s="1"/>
      <c r="AY100" s="1"/>
      <c r="AZ100" s="1"/>
      <c r="BA100" s="1"/>
      <c r="BB100" s="1"/>
      <c r="BC100" s="1"/>
      <c r="BG100" s="1"/>
      <c r="BH100" s="1"/>
      <c r="BI100" s="1"/>
      <c r="BJ100" s="1"/>
      <c r="BK100" s="1"/>
      <c r="BL100" s="1"/>
      <c r="BM100" s="1"/>
      <c r="BN100" s="1"/>
    </row>
    <row r="101" spans="1:67" ht="16.2" thickBot="1">
      <c r="A101" s="772" t="s">
        <v>9</v>
      </c>
      <c r="B101" s="772" t="str">
        <f>E45</f>
        <v>GAPDH</v>
      </c>
      <c r="C101" s="718" t="str">
        <f>C43</f>
        <v>WT 24h</v>
      </c>
      <c r="D101" s="719"/>
      <c r="E101" s="719"/>
      <c r="F101" s="719"/>
      <c r="G101" s="719"/>
      <c r="H101" s="719"/>
      <c r="I101" s="719"/>
      <c r="J101" s="719"/>
      <c r="K101" s="720"/>
      <c r="L101" s="1"/>
      <c r="M101" s="1"/>
      <c r="N101" s="1"/>
      <c r="O101" s="718" t="str">
        <f>O43</f>
        <v>Set 1 24h</v>
      </c>
      <c r="P101" s="719"/>
      <c r="Q101" s="719"/>
      <c r="R101" s="719"/>
      <c r="S101" s="719"/>
      <c r="T101" s="719"/>
      <c r="U101" s="719"/>
      <c r="V101" s="720"/>
      <c r="Z101" s="718" t="str">
        <f>Z43</f>
        <v>Set 2 24h</v>
      </c>
      <c r="AA101" s="719"/>
      <c r="AB101" s="719"/>
      <c r="AC101" s="719"/>
      <c r="AD101" s="719"/>
      <c r="AE101" s="719"/>
      <c r="AF101" s="719"/>
      <c r="AG101" s="720"/>
      <c r="AK101" s="718" t="str">
        <f>AK43</f>
        <v>Set 4 24h</v>
      </c>
      <c r="AL101" s="719"/>
      <c r="AM101" s="719"/>
      <c r="AN101" s="719"/>
      <c r="AO101" s="719"/>
      <c r="AP101" s="719"/>
      <c r="AQ101" s="719"/>
      <c r="AR101" s="720"/>
      <c r="AV101" s="718" t="str">
        <f>AX3</f>
        <v>Set 5 24h</v>
      </c>
      <c r="AW101" s="719"/>
      <c r="AX101" s="719"/>
      <c r="AY101" s="719"/>
      <c r="AZ101" s="719"/>
      <c r="BA101" s="719"/>
      <c r="BB101" s="719"/>
      <c r="BC101" s="720"/>
      <c r="BG101" s="718" t="str">
        <f>BI3</f>
        <v>GFP 24h</v>
      </c>
      <c r="BH101" s="719"/>
      <c r="BI101" s="719"/>
      <c r="BJ101" s="719"/>
      <c r="BK101" s="719"/>
      <c r="BL101" s="719"/>
      <c r="BM101" s="719"/>
      <c r="BN101" s="720"/>
    </row>
    <row r="102" spans="1:67" ht="16.8" thickBot="1">
      <c r="A102" s="773"/>
      <c r="B102" s="773"/>
      <c r="C102" s="136" t="s">
        <v>0</v>
      </c>
      <c r="D102" s="137" t="s">
        <v>1</v>
      </c>
      <c r="E102" s="137" t="s">
        <v>2</v>
      </c>
      <c r="F102" s="138" t="s">
        <v>3</v>
      </c>
      <c r="G102" s="139" t="s">
        <v>4</v>
      </c>
      <c r="H102" s="140" t="s">
        <v>5</v>
      </c>
      <c r="I102" s="140" t="s">
        <v>6</v>
      </c>
      <c r="J102" s="141" t="s">
        <v>7</v>
      </c>
      <c r="K102" s="142" t="s">
        <v>8</v>
      </c>
      <c r="L102" s="1"/>
      <c r="M102" s="1"/>
      <c r="N102" s="1"/>
      <c r="O102" s="131" t="s">
        <v>0</v>
      </c>
      <c r="P102" s="132" t="s">
        <v>1</v>
      </c>
      <c r="Q102" s="132" t="s">
        <v>2</v>
      </c>
      <c r="R102" s="133" t="s">
        <v>3</v>
      </c>
      <c r="S102" s="134" t="s">
        <v>4</v>
      </c>
      <c r="T102" s="135" t="s">
        <v>5</v>
      </c>
      <c r="U102" s="10" t="s">
        <v>7</v>
      </c>
      <c r="V102" s="11" t="s">
        <v>8</v>
      </c>
      <c r="Z102" s="131" t="s">
        <v>0</v>
      </c>
      <c r="AA102" s="132" t="s">
        <v>1</v>
      </c>
      <c r="AB102" s="132" t="s">
        <v>2</v>
      </c>
      <c r="AC102" s="133" t="s">
        <v>3</v>
      </c>
      <c r="AD102" s="134" t="s">
        <v>4</v>
      </c>
      <c r="AE102" s="135" t="s">
        <v>5</v>
      </c>
      <c r="AF102" s="10" t="s">
        <v>7</v>
      </c>
      <c r="AG102" s="11" t="s">
        <v>8</v>
      </c>
      <c r="AK102" s="131" t="s">
        <v>0</v>
      </c>
      <c r="AL102" s="132" t="s">
        <v>1</v>
      </c>
      <c r="AM102" s="132" t="s">
        <v>2</v>
      </c>
      <c r="AN102" s="133" t="s">
        <v>3</v>
      </c>
      <c r="AO102" s="134" t="s">
        <v>4</v>
      </c>
      <c r="AP102" s="135" t="s">
        <v>5</v>
      </c>
      <c r="AQ102" s="10" t="s">
        <v>7</v>
      </c>
      <c r="AR102" s="11" t="s">
        <v>8</v>
      </c>
      <c r="AV102" s="131" t="s">
        <v>0</v>
      </c>
      <c r="AW102" s="132" t="s">
        <v>1</v>
      </c>
      <c r="AX102" s="132" t="s">
        <v>2</v>
      </c>
      <c r="AY102" s="133" t="s">
        <v>3</v>
      </c>
      <c r="AZ102" s="134" t="s">
        <v>4</v>
      </c>
      <c r="BA102" s="135" t="s">
        <v>5</v>
      </c>
      <c r="BB102" s="10" t="s">
        <v>7</v>
      </c>
      <c r="BC102" s="11" t="s">
        <v>8</v>
      </c>
      <c r="BG102" s="131" t="s">
        <v>0</v>
      </c>
      <c r="BH102" s="132" t="s">
        <v>1</v>
      </c>
      <c r="BI102" s="132" t="s">
        <v>2</v>
      </c>
      <c r="BJ102" s="133" t="s">
        <v>3</v>
      </c>
      <c r="BK102" s="134" t="s">
        <v>4</v>
      </c>
      <c r="BL102" s="135" t="s">
        <v>5</v>
      </c>
      <c r="BM102" s="10" t="s">
        <v>7</v>
      </c>
      <c r="BN102" s="11" t="s">
        <v>8</v>
      </c>
    </row>
    <row r="103" spans="1:67">
      <c r="A103" s="773"/>
      <c r="B103" s="773"/>
      <c r="C103" s="101">
        <f>C45</f>
        <v>0</v>
      </c>
      <c r="D103" s="102" t="str">
        <f>D45</f>
        <v>WT 24h</v>
      </c>
      <c r="E103" s="102" t="str">
        <f>E45</f>
        <v>GAPDH</v>
      </c>
      <c r="F103" s="143">
        <f>F45</f>
        <v>20.427815640245292</v>
      </c>
      <c r="G103" s="775">
        <f>G45</f>
        <v>20.471573018267005</v>
      </c>
      <c r="H103" s="778"/>
      <c r="I103" s="16"/>
      <c r="J103" s="778"/>
      <c r="K103" s="781"/>
      <c r="L103" s="1"/>
      <c r="M103" s="1"/>
      <c r="N103" s="1"/>
      <c r="O103" s="103">
        <f>O45</f>
        <v>0</v>
      </c>
      <c r="P103" s="104" t="str">
        <f>P45</f>
        <v>Set 1 24h</v>
      </c>
      <c r="Q103" s="104" t="str">
        <f>Q45</f>
        <v>GAPDH</v>
      </c>
      <c r="R103" s="105">
        <f>R45</f>
        <v>19.593802056137903</v>
      </c>
      <c r="S103" s="784">
        <f>S45</f>
        <v>19.52147331671264</v>
      </c>
      <c r="T103" s="806"/>
      <c r="U103" s="789"/>
      <c r="V103" s="787"/>
      <c r="Z103" s="103">
        <f>Z45</f>
        <v>0</v>
      </c>
      <c r="AA103" s="104" t="str">
        <f>AA45</f>
        <v>Set 2 24h</v>
      </c>
      <c r="AB103" s="104" t="str">
        <f>AB45</f>
        <v>GAPDH</v>
      </c>
      <c r="AC103" s="105">
        <f>AC45</f>
        <v>17.469950352923377</v>
      </c>
      <c r="AD103" s="784">
        <f>AD45</f>
        <v>17.529599779897463</v>
      </c>
      <c r="AE103" s="806"/>
      <c r="AF103" s="789"/>
      <c r="AG103" s="787"/>
      <c r="AK103" s="103">
        <f>AK45</f>
        <v>0</v>
      </c>
      <c r="AL103" s="104" t="str">
        <f>AL45</f>
        <v>Set 4 24h</v>
      </c>
      <c r="AM103" s="104" t="str">
        <f>AM45</f>
        <v>GAPDH</v>
      </c>
      <c r="AN103" s="105">
        <f>AN45</f>
        <v>20.722142325684111</v>
      </c>
      <c r="AO103" s="784">
        <f>AO45</f>
        <v>20.368306524789023</v>
      </c>
      <c r="AP103" s="806"/>
      <c r="AQ103" s="789"/>
      <c r="AR103" s="787"/>
      <c r="AV103" s="103">
        <f>AV45</f>
        <v>0</v>
      </c>
      <c r="AW103" s="104" t="str">
        <f>AW45</f>
        <v>Set 5 24h</v>
      </c>
      <c r="AX103" s="104" t="str">
        <f>AX45</f>
        <v>GAPDH</v>
      </c>
      <c r="AY103" s="105">
        <f>AY45</f>
        <v>20.722142325684111</v>
      </c>
      <c r="AZ103" s="784">
        <f>AZ45</f>
        <v>20.368306524789023</v>
      </c>
      <c r="BA103" s="806"/>
      <c r="BB103" s="789"/>
      <c r="BC103" s="787"/>
      <c r="BG103" s="103">
        <f>BG45</f>
        <v>0</v>
      </c>
      <c r="BH103" s="104" t="str">
        <f>BH45</f>
        <v>GFP 24h</v>
      </c>
      <c r="BI103" s="104" t="str">
        <f>BI45</f>
        <v>GAPDH</v>
      </c>
      <c r="BJ103" s="105">
        <f>BJ45</f>
        <v>0</v>
      </c>
      <c r="BK103" s="784">
        <f>BK45</f>
        <v>17.892146019305006</v>
      </c>
      <c r="BL103" s="806"/>
      <c r="BM103" s="789"/>
      <c r="BN103" s="787"/>
    </row>
    <row r="104" spans="1:67">
      <c r="A104" s="773"/>
      <c r="B104" s="773"/>
      <c r="C104" s="103">
        <f t="shared" ref="C104:F105" si="6">C46</f>
        <v>0</v>
      </c>
      <c r="D104" s="104" t="str">
        <f t="shared" si="6"/>
        <v>WT 24h</v>
      </c>
      <c r="E104" s="104" t="str">
        <f t="shared" si="6"/>
        <v>GAPDH</v>
      </c>
      <c r="F104" s="114">
        <f t="shared" si="6"/>
        <v>0</v>
      </c>
      <c r="G104" s="776"/>
      <c r="H104" s="779"/>
      <c r="I104" s="13"/>
      <c r="J104" s="779"/>
      <c r="K104" s="782"/>
      <c r="L104" s="1"/>
      <c r="M104" s="1"/>
      <c r="N104" s="1"/>
      <c r="O104" s="103">
        <f t="shared" ref="O104:R105" si="7">O46</f>
        <v>0</v>
      </c>
      <c r="P104" s="104" t="str">
        <f t="shared" si="7"/>
        <v>Set 1 24h</v>
      </c>
      <c r="Q104" s="104" t="str">
        <f t="shared" si="7"/>
        <v>GAPDH</v>
      </c>
      <c r="R104" s="105">
        <f t="shared" si="7"/>
        <v>19.3821929077085</v>
      </c>
      <c r="S104" s="776"/>
      <c r="T104" s="779"/>
      <c r="U104" s="779"/>
      <c r="V104" s="782"/>
      <c r="Z104" s="103">
        <f t="shared" ref="Z104:AC105" si="8">Z46</f>
        <v>0</v>
      </c>
      <c r="AA104" s="104" t="str">
        <f t="shared" si="8"/>
        <v>Set 2 24h</v>
      </c>
      <c r="AB104" s="104" t="str">
        <f t="shared" si="8"/>
        <v>GAPDH</v>
      </c>
      <c r="AC104" s="105">
        <f t="shared" si="8"/>
        <v>17.578785982039065</v>
      </c>
      <c r="AD104" s="776"/>
      <c r="AE104" s="779"/>
      <c r="AF104" s="779"/>
      <c r="AG104" s="782"/>
      <c r="AK104" s="103">
        <f t="shared" ref="AK104:AN105" si="9">AK46</f>
        <v>0</v>
      </c>
      <c r="AL104" s="104" t="str">
        <f t="shared" si="9"/>
        <v>Set 4 24h</v>
      </c>
      <c r="AM104" s="104" t="str">
        <f t="shared" si="9"/>
        <v>GAPDH</v>
      </c>
      <c r="AN104" s="105">
        <f t="shared" si="9"/>
        <v>19.967785286756524</v>
      </c>
      <c r="AO104" s="776"/>
      <c r="AP104" s="779"/>
      <c r="AQ104" s="779"/>
      <c r="AR104" s="782"/>
      <c r="AV104" s="103">
        <f t="shared" ref="AV104:AY105" si="10">AV46</f>
        <v>0</v>
      </c>
      <c r="AW104" s="104" t="str">
        <f t="shared" si="10"/>
        <v>Set 5 24h</v>
      </c>
      <c r="AX104" s="104" t="str">
        <f t="shared" si="10"/>
        <v>GAPDH</v>
      </c>
      <c r="AY104" s="105">
        <f t="shared" si="10"/>
        <v>19.967785286756524</v>
      </c>
      <c r="AZ104" s="776"/>
      <c r="BA104" s="779"/>
      <c r="BB104" s="779"/>
      <c r="BC104" s="782"/>
      <c r="BG104" s="103">
        <f t="shared" ref="BG104:BJ105" si="11">BG46</f>
        <v>0</v>
      </c>
      <c r="BH104" s="104" t="str">
        <f t="shared" si="11"/>
        <v>GFP 24h</v>
      </c>
      <c r="BI104" s="104" t="str">
        <f t="shared" si="11"/>
        <v>GAPDH</v>
      </c>
      <c r="BJ104" s="105">
        <f t="shared" si="11"/>
        <v>17.845501785051006</v>
      </c>
      <c r="BK104" s="776"/>
      <c r="BL104" s="779"/>
      <c r="BM104" s="779"/>
      <c r="BN104" s="782"/>
    </row>
    <row r="105" spans="1:67">
      <c r="A105" s="773"/>
      <c r="B105" s="773"/>
      <c r="C105" s="109">
        <f t="shared" si="6"/>
        <v>0</v>
      </c>
      <c r="D105" s="110" t="str">
        <f t="shared" si="6"/>
        <v>WT 24h</v>
      </c>
      <c r="E105" s="110" t="str">
        <f t="shared" si="6"/>
        <v>GAPDH</v>
      </c>
      <c r="F105" s="115">
        <f t="shared" si="6"/>
        <v>20.515330396288718</v>
      </c>
      <c r="G105" s="777"/>
      <c r="H105" s="780"/>
      <c r="I105" s="14"/>
      <c r="J105" s="780"/>
      <c r="K105" s="783"/>
      <c r="L105" s="1"/>
      <c r="M105" s="1"/>
      <c r="N105" s="1"/>
      <c r="O105" s="109">
        <f t="shared" si="7"/>
        <v>0</v>
      </c>
      <c r="P105" s="110" t="str">
        <f>P47</f>
        <v>Set 1 24h</v>
      </c>
      <c r="Q105" s="110" t="str">
        <f t="shared" si="7"/>
        <v>GAPDH</v>
      </c>
      <c r="R105" s="111">
        <f t="shared" si="7"/>
        <v>19.588424986291521</v>
      </c>
      <c r="S105" s="777"/>
      <c r="T105" s="780"/>
      <c r="U105" s="780"/>
      <c r="V105" s="783"/>
      <c r="Z105" s="109">
        <f t="shared" si="8"/>
        <v>0</v>
      </c>
      <c r="AA105" s="110" t="str">
        <f t="shared" si="8"/>
        <v>Set 2 24h</v>
      </c>
      <c r="AB105" s="110" t="str">
        <f t="shared" si="8"/>
        <v>GAPDH</v>
      </c>
      <c r="AC105" s="111">
        <f t="shared" si="8"/>
        <v>17.540063004729952</v>
      </c>
      <c r="AD105" s="777"/>
      <c r="AE105" s="780"/>
      <c r="AF105" s="780"/>
      <c r="AG105" s="783"/>
      <c r="AK105" s="109">
        <f t="shared" si="9"/>
        <v>0</v>
      </c>
      <c r="AL105" s="110" t="str">
        <f t="shared" si="9"/>
        <v>Set 4 24h</v>
      </c>
      <c r="AM105" s="110" t="str">
        <f t="shared" si="9"/>
        <v>GAPDH</v>
      </c>
      <c r="AN105" s="111">
        <f t="shared" si="9"/>
        <v>20.41499196192644</v>
      </c>
      <c r="AO105" s="777"/>
      <c r="AP105" s="780"/>
      <c r="AQ105" s="780"/>
      <c r="AR105" s="783"/>
      <c r="AV105" s="109">
        <f t="shared" si="10"/>
        <v>0</v>
      </c>
      <c r="AW105" s="110" t="str">
        <f t="shared" si="10"/>
        <v>Set 5 24h</v>
      </c>
      <c r="AX105" s="110" t="str">
        <f t="shared" si="10"/>
        <v>GAPDH</v>
      </c>
      <c r="AY105" s="111">
        <f t="shared" si="10"/>
        <v>20.41499196192644</v>
      </c>
      <c r="AZ105" s="777"/>
      <c r="BA105" s="780"/>
      <c r="BB105" s="780"/>
      <c r="BC105" s="783"/>
      <c r="BG105" s="109">
        <f t="shared" si="11"/>
        <v>0</v>
      </c>
      <c r="BH105" s="110" t="str">
        <f t="shared" si="11"/>
        <v>GFP 24h</v>
      </c>
      <c r="BI105" s="110" t="str">
        <f t="shared" si="11"/>
        <v>GAPDH</v>
      </c>
      <c r="BJ105" s="111">
        <f t="shared" si="11"/>
        <v>17.938790253559006</v>
      </c>
      <c r="BK105" s="777"/>
      <c r="BL105" s="780"/>
      <c r="BM105" s="780"/>
      <c r="BN105" s="783"/>
    </row>
    <row r="106" spans="1:67">
      <c r="A106" s="773"/>
      <c r="B106" s="773"/>
      <c r="C106" s="117">
        <f t="shared" ref="C106:F110" si="12">C48</f>
        <v>0</v>
      </c>
      <c r="D106" s="118" t="str">
        <f t="shared" si="12"/>
        <v>WT 24h</v>
      </c>
      <c r="E106" s="118" t="str">
        <f t="shared" si="12"/>
        <v>GAPDH</v>
      </c>
      <c r="F106" s="125">
        <f t="shared" si="12"/>
        <v>0</v>
      </c>
      <c r="G106" s="788">
        <f>G48</f>
        <v>20.663110676032399</v>
      </c>
      <c r="H106" s="789"/>
      <c r="I106" s="12"/>
      <c r="J106" s="789"/>
      <c r="K106" s="787"/>
      <c r="L106" s="1"/>
      <c r="M106" s="1"/>
      <c r="N106" s="1"/>
      <c r="O106" s="117">
        <f t="shared" ref="O106:R111" si="13">O48</f>
        <v>0</v>
      </c>
      <c r="P106" s="118" t="str">
        <f>P48</f>
        <v>Set 1 24h</v>
      </c>
      <c r="Q106" s="118" t="str">
        <f t="shared" si="13"/>
        <v>GAPDH</v>
      </c>
      <c r="R106" s="119">
        <f t="shared" si="13"/>
        <v>17.611368920355687</v>
      </c>
      <c r="S106" s="788">
        <f>S48</f>
        <v>17.648709254952664</v>
      </c>
      <c r="T106" s="789"/>
      <c r="U106" s="789"/>
      <c r="V106" s="787"/>
      <c r="Z106" s="117">
        <f t="shared" ref="Z106:AC106" si="14">Z48</f>
        <v>0</v>
      </c>
      <c r="AA106" s="118" t="str">
        <f t="shared" si="14"/>
        <v>Set 2 24h</v>
      </c>
      <c r="AB106" s="118" t="str">
        <f t="shared" si="14"/>
        <v>GAPDH</v>
      </c>
      <c r="AC106" s="119">
        <f t="shared" si="14"/>
        <v>17.707659038966653</v>
      </c>
      <c r="AD106" s="788">
        <f>AD48</f>
        <v>17.858728055031648</v>
      </c>
      <c r="AE106" s="789"/>
      <c r="AF106" s="789"/>
      <c r="AG106" s="787"/>
      <c r="AK106" s="117">
        <f t="shared" ref="AK106:AN106" si="15">AK48</f>
        <v>0</v>
      </c>
      <c r="AL106" s="118" t="str">
        <f t="shared" si="15"/>
        <v>Set 4 24h</v>
      </c>
      <c r="AM106" s="118" t="str">
        <f t="shared" si="15"/>
        <v>GAPDH</v>
      </c>
      <c r="AN106" s="119">
        <f t="shared" si="15"/>
        <v>20.630732155985669</v>
      </c>
      <c r="AO106" s="788">
        <f>AO48</f>
        <v>20.320844863221375</v>
      </c>
      <c r="AP106" s="789"/>
      <c r="AQ106" s="789"/>
      <c r="AR106" s="787"/>
      <c r="AV106" s="117">
        <f t="shared" ref="AV106:AY106" si="16">AV48</f>
        <v>0</v>
      </c>
      <c r="AW106" s="118" t="str">
        <f t="shared" si="16"/>
        <v>Set 5 24h</v>
      </c>
      <c r="AX106" s="118" t="str">
        <f>AX48</f>
        <v>GAPDH</v>
      </c>
      <c r="AY106" s="119">
        <f t="shared" si="16"/>
        <v>20.630732155985669</v>
      </c>
      <c r="AZ106" s="788">
        <f>AZ48</f>
        <v>20.320844863221375</v>
      </c>
      <c r="BA106" s="789"/>
      <c r="BB106" s="789"/>
      <c r="BC106" s="787"/>
      <c r="BG106" s="117">
        <f t="shared" ref="BG106:BH106" si="17">BG48</f>
        <v>0</v>
      </c>
      <c r="BH106" s="118" t="str">
        <f t="shared" si="17"/>
        <v>GFP 24h</v>
      </c>
      <c r="BI106" s="118" t="str">
        <f>BI48</f>
        <v>GAPDH</v>
      </c>
      <c r="BJ106" s="119">
        <f t="shared" ref="BJ106" si="18">BJ48</f>
        <v>18.315126598229035</v>
      </c>
      <c r="BK106" s="788">
        <f>BK48</f>
        <v>18.462492201891369</v>
      </c>
      <c r="BL106" s="789"/>
      <c r="BM106" s="789"/>
      <c r="BN106" s="787"/>
    </row>
    <row r="107" spans="1:67">
      <c r="A107" s="773"/>
      <c r="B107" s="773"/>
      <c r="C107" s="122">
        <f t="shared" si="12"/>
        <v>0</v>
      </c>
      <c r="D107" s="118" t="str">
        <f t="shared" si="12"/>
        <v>WT 24h</v>
      </c>
      <c r="E107" s="118" t="str">
        <f t="shared" si="12"/>
        <v>GAPDH</v>
      </c>
      <c r="F107" s="125">
        <f t="shared" si="12"/>
        <v>20.715289982267521</v>
      </c>
      <c r="G107" s="776"/>
      <c r="H107" s="779"/>
      <c r="I107" s="13"/>
      <c r="J107" s="779"/>
      <c r="K107" s="782"/>
      <c r="L107" s="1"/>
      <c r="M107" s="1"/>
      <c r="N107" s="1"/>
      <c r="O107" s="117">
        <f t="shared" si="13"/>
        <v>0</v>
      </c>
      <c r="P107" s="118" t="str">
        <f t="shared" si="13"/>
        <v>Set 1 24h</v>
      </c>
      <c r="Q107" s="118" t="str">
        <f t="shared" si="13"/>
        <v>GAPDH</v>
      </c>
      <c r="R107" s="119">
        <f t="shared" si="13"/>
        <v>17.628815226481429</v>
      </c>
      <c r="S107" s="776"/>
      <c r="T107" s="779"/>
      <c r="U107" s="779"/>
      <c r="V107" s="782"/>
      <c r="Z107" s="117">
        <f t="shared" ref="Z107:AC107" si="19">Z49</f>
        <v>0</v>
      </c>
      <c r="AA107" s="118" t="str">
        <f t="shared" si="19"/>
        <v>Set 2 24h</v>
      </c>
      <c r="AB107" s="118" t="str">
        <f t="shared" si="19"/>
        <v>GAPDH</v>
      </c>
      <c r="AC107" s="119">
        <f t="shared" si="19"/>
        <v>17.85789997136078</v>
      </c>
      <c r="AD107" s="776"/>
      <c r="AE107" s="779"/>
      <c r="AF107" s="779"/>
      <c r="AG107" s="782"/>
      <c r="AK107" s="117">
        <f t="shared" ref="AK107:AN107" si="20">AK49</f>
        <v>0</v>
      </c>
      <c r="AL107" s="118" t="str">
        <f t="shared" si="20"/>
        <v>Set 4 24h</v>
      </c>
      <c r="AM107" s="118" t="str">
        <f t="shared" si="20"/>
        <v>GAPDH</v>
      </c>
      <c r="AN107" s="119">
        <f t="shared" si="20"/>
        <v>20.256083581425976</v>
      </c>
      <c r="AO107" s="776"/>
      <c r="AP107" s="779"/>
      <c r="AQ107" s="779"/>
      <c r="AR107" s="782"/>
      <c r="AV107" s="117">
        <f t="shared" ref="AV107:AY107" si="21">AV49</f>
        <v>0</v>
      </c>
      <c r="AW107" s="118" t="str">
        <f t="shared" si="21"/>
        <v>Set 5 24h</v>
      </c>
      <c r="AX107" s="118" t="str">
        <f t="shared" si="21"/>
        <v>GAPDH</v>
      </c>
      <c r="AY107" s="119">
        <f t="shared" si="21"/>
        <v>20.256083581425976</v>
      </c>
      <c r="AZ107" s="776"/>
      <c r="BA107" s="779"/>
      <c r="BB107" s="779"/>
      <c r="BC107" s="782"/>
      <c r="BG107" s="117">
        <f t="shared" ref="BG107:BJ107" si="22">BG49</f>
        <v>0</v>
      </c>
      <c r="BH107" s="118" t="str">
        <f t="shared" si="22"/>
        <v>GFP 24h</v>
      </c>
      <c r="BI107" s="118" t="str">
        <f t="shared" si="22"/>
        <v>GAPDH</v>
      </c>
      <c r="BJ107" s="119">
        <f t="shared" si="22"/>
        <v>18.536357611038731</v>
      </c>
      <c r="BK107" s="776"/>
      <c r="BL107" s="779"/>
      <c r="BM107" s="779"/>
      <c r="BN107" s="782"/>
    </row>
    <row r="108" spans="1:67">
      <c r="A108" s="773"/>
      <c r="B108" s="773"/>
      <c r="C108" s="117">
        <f t="shared" si="12"/>
        <v>0</v>
      </c>
      <c r="D108" s="123" t="str">
        <f t="shared" si="12"/>
        <v>WT 24h</v>
      </c>
      <c r="E108" s="123" t="str">
        <f t="shared" si="12"/>
        <v>GAPDH</v>
      </c>
      <c r="F108" s="126">
        <f t="shared" si="12"/>
        <v>20.610931369797278</v>
      </c>
      <c r="G108" s="777"/>
      <c r="H108" s="780"/>
      <c r="I108" s="14"/>
      <c r="J108" s="780"/>
      <c r="K108" s="783"/>
      <c r="L108" s="1"/>
      <c r="M108" s="1"/>
      <c r="N108" s="1"/>
      <c r="O108" s="122">
        <f t="shared" si="13"/>
        <v>0</v>
      </c>
      <c r="P108" s="123" t="str">
        <f t="shared" si="13"/>
        <v>Set 1 24h</v>
      </c>
      <c r="Q108" s="123" t="str">
        <f t="shared" si="13"/>
        <v>GAPDH</v>
      </c>
      <c r="R108" s="124">
        <f t="shared" si="13"/>
        <v>17.705943618020875</v>
      </c>
      <c r="S108" s="777"/>
      <c r="T108" s="780"/>
      <c r="U108" s="780"/>
      <c r="V108" s="783"/>
      <c r="Z108" s="122">
        <f t="shared" ref="Z108:AC108" si="23">Z50</f>
        <v>0</v>
      </c>
      <c r="AA108" s="123" t="str">
        <f t="shared" si="23"/>
        <v>Set 2 24h</v>
      </c>
      <c r="AB108" s="123" t="str">
        <f t="shared" si="23"/>
        <v>GAPDH</v>
      </c>
      <c r="AC108" s="124">
        <f t="shared" si="23"/>
        <v>18.01062515476751</v>
      </c>
      <c r="AD108" s="777"/>
      <c r="AE108" s="780"/>
      <c r="AF108" s="780"/>
      <c r="AG108" s="783"/>
      <c r="AK108" s="122">
        <f t="shared" ref="AK108:AN108" si="24">AK50</f>
        <v>0</v>
      </c>
      <c r="AL108" s="123" t="str">
        <f t="shared" si="24"/>
        <v>Set 4 24h</v>
      </c>
      <c r="AM108" s="123" t="str">
        <f t="shared" si="24"/>
        <v>GAPDH</v>
      </c>
      <c r="AN108" s="124">
        <f t="shared" si="24"/>
        <v>20.075718852252479</v>
      </c>
      <c r="AO108" s="777"/>
      <c r="AP108" s="780"/>
      <c r="AQ108" s="780"/>
      <c r="AR108" s="783"/>
      <c r="AV108" s="122">
        <f t="shared" ref="AV108:AY108" si="25">AV50</f>
        <v>0</v>
      </c>
      <c r="AW108" s="123" t="str">
        <f t="shared" si="25"/>
        <v>Set 5 24h</v>
      </c>
      <c r="AX108" s="123" t="str">
        <f t="shared" si="25"/>
        <v>GAPDH</v>
      </c>
      <c r="AY108" s="124">
        <f t="shared" si="25"/>
        <v>20.075718852252479</v>
      </c>
      <c r="AZ108" s="777"/>
      <c r="BA108" s="780"/>
      <c r="BB108" s="780"/>
      <c r="BC108" s="783"/>
      <c r="BG108" s="122">
        <f t="shared" ref="BG108:BJ108" si="26">BG50</f>
        <v>0</v>
      </c>
      <c r="BH108" s="123" t="str">
        <f>BH50</f>
        <v>GFP 24h</v>
      </c>
      <c r="BI108" s="123" t="str">
        <f t="shared" si="26"/>
        <v>GAPDH</v>
      </c>
      <c r="BJ108" s="124">
        <f t="shared" si="26"/>
        <v>18.535992396406343</v>
      </c>
      <c r="BK108" s="777"/>
      <c r="BL108" s="780"/>
      <c r="BM108" s="780"/>
      <c r="BN108" s="783"/>
    </row>
    <row r="109" spans="1:67">
      <c r="A109" s="773"/>
      <c r="B109" s="773"/>
      <c r="C109" s="109">
        <f t="shared" si="12"/>
        <v>0</v>
      </c>
      <c r="D109" s="104" t="str">
        <f t="shared" si="12"/>
        <v>WT 24h</v>
      </c>
      <c r="E109" s="104" t="str">
        <f t="shared" si="12"/>
        <v>GAPDH</v>
      </c>
      <c r="F109" s="114">
        <f t="shared" si="12"/>
        <v>20.672207091833045</v>
      </c>
      <c r="G109" s="776">
        <f>G51</f>
        <v>20.606234798813642</v>
      </c>
      <c r="H109" s="789"/>
      <c r="I109" s="12"/>
      <c r="J109" s="789"/>
      <c r="K109" s="787"/>
      <c r="L109" s="1"/>
      <c r="M109" s="1"/>
      <c r="N109" s="1"/>
      <c r="O109" s="103">
        <f t="shared" si="13"/>
        <v>0</v>
      </c>
      <c r="P109" s="104" t="str">
        <f t="shared" si="13"/>
        <v>Set 1 24h</v>
      </c>
      <c r="Q109" s="104" t="str">
        <f t="shared" si="13"/>
        <v>GAPDH</v>
      </c>
      <c r="R109" s="105">
        <f t="shared" si="13"/>
        <v>19.224860441773529</v>
      </c>
      <c r="S109" s="776">
        <f>S51</f>
        <v>19.241817163616123</v>
      </c>
      <c r="T109" s="789"/>
      <c r="U109" s="789"/>
      <c r="V109" s="787"/>
      <c r="Z109" s="103">
        <f t="shared" ref="Z109:AB109" si="27">Z51</f>
        <v>0</v>
      </c>
      <c r="AA109" s="104" t="str">
        <f t="shared" si="27"/>
        <v>Set 2 24h</v>
      </c>
      <c r="AB109" s="104" t="str">
        <f t="shared" si="27"/>
        <v>GAPDH</v>
      </c>
      <c r="AC109" s="105">
        <f>AC51</f>
        <v>19.328557459368255</v>
      </c>
      <c r="AD109" s="776">
        <f>AD51</f>
        <v>19.263754598426765</v>
      </c>
      <c r="AE109" s="789"/>
      <c r="AF109" s="789"/>
      <c r="AG109" s="787"/>
      <c r="AK109" s="103">
        <f t="shared" ref="AK109:AN109" si="28">AK51</f>
        <v>0</v>
      </c>
      <c r="AL109" s="104" t="str">
        <f t="shared" si="28"/>
        <v>Set 4 24h</v>
      </c>
      <c r="AM109" s="104" t="str">
        <f t="shared" si="28"/>
        <v>GAPDH</v>
      </c>
      <c r="AN109" s="105">
        <f t="shared" si="28"/>
        <v>19.142668463834568</v>
      </c>
      <c r="AO109" s="776">
        <f>AO51</f>
        <v>19.237758208998127</v>
      </c>
      <c r="AP109" s="789"/>
      <c r="AQ109" s="789"/>
      <c r="AR109" s="787"/>
      <c r="AV109" s="103">
        <f t="shared" ref="AV109:AY109" si="29">AV51</f>
        <v>0</v>
      </c>
      <c r="AW109" s="104" t="str">
        <f t="shared" si="29"/>
        <v>Set 5 24h</v>
      </c>
      <c r="AX109" s="104" t="str">
        <f t="shared" si="29"/>
        <v>GAPDH</v>
      </c>
      <c r="AY109" s="105">
        <f t="shared" si="29"/>
        <v>19.142668463834568</v>
      </c>
      <c r="AZ109" s="776">
        <f>AZ51</f>
        <v>19.237758208998127</v>
      </c>
      <c r="BA109" s="789"/>
      <c r="BB109" s="789"/>
      <c r="BC109" s="787"/>
      <c r="BG109" s="103">
        <f t="shared" ref="BG109:BJ109" si="30">BG51</f>
        <v>0</v>
      </c>
      <c r="BH109" s="104" t="str">
        <f t="shared" si="30"/>
        <v>GFP 24h</v>
      </c>
      <c r="BI109" s="104" t="str">
        <f t="shared" si="30"/>
        <v>GAPDH</v>
      </c>
      <c r="BJ109" s="105">
        <f t="shared" si="30"/>
        <v>18.4830906446876</v>
      </c>
      <c r="BK109" s="776">
        <f>BK51</f>
        <v>18.570621653645286</v>
      </c>
      <c r="BL109" s="789"/>
      <c r="BM109" s="789"/>
      <c r="BN109" s="787"/>
    </row>
    <row r="110" spans="1:67">
      <c r="A110" s="773"/>
      <c r="B110" s="773"/>
      <c r="C110" s="103">
        <f t="shared" si="12"/>
        <v>0</v>
      </c>
      <c r="D110" s="104" t="str">
        <f t="shared" si="12"/>
        <v>WT 24h</v>
      </c>
      <c r="E110" s="104" t="str">
        <f t="shared" si="12"/>
        <v>GAPDH</v>
      </c>
      <c r="F110" s="114">
        <f t="shared" si="12"/>
        <v>0</v>
      </c>
      <c r="G110" s="776"/>
      <c r="H110" s="779"/>
      <c r="I110" s="13"/>
      <c r="J110" s="779"/>
      <c r="K110" s="782"/>
      <c r="L110" s="1"/>
      <c r="M110" s="1"/>
      <c r="N110" s="1"/>
      <c r="O110" s="103">
        <f t="shared" si="13"/>
        <v>0</v>
      </c>
      <c r="P110" s="104" t="str">
        <f t="shared" si="13"/>
        <v>Set 1 24h</v>
      </c>
      <c r="Q110" s="104" t="str">
        <f t="shared" si="13"/>
        <v>GAPDH</v>
      </c>
      <c r="R110" s="105">
        <f t="shared" si="13"/>
        <v>19.644558311870803</v>
      </c>
      <c r="S110" s="776"/>
      <c r="T110" s="779"/>
      <c r="U110" s="779"/>
      <c r="V110" s="782"/>
      <c r="Z110" s="103">
        <f t="shared" ref="Z110:AC110" si="31">Z52</f>
        <v>0</v>
      </c>
      <c r="AA110" s="104" t="str">
        <f t="shared" si="31"/>
        <v>Set 2 24h</v>
      </c>
      <c r="AB110" s="104" t="str">
        <f t="shared" si="31"/>
        <v>GAPDH</v>
      </c>
      <c r="AC110" s="105">
        <f t="shared" si="31"/>
        <v>19.610463706475805</v>
      </c>
      <c r="AD110" s="776"/>
      <c r="AE110" s="779"/>
      <c r="AF110" s="779"/>
      <c r="AG110" s="782"/>
      <c r="AK110" s="103">
        <f t="shared" ref="AK110:AN110" si="32">AK52</f>
        <v>0</v>
      </c>
      <c r="AL110" s="104" t="str">
        <f t="shared" si="32"/>
        <v>Set 4 24h</v>
      </c>
      <c r="AM110" s="104" t="str">
        <f t="shared" si="32"/>
        <v>GAPDH</v>
      </c>
      <c r="AN110" s="105">
        <f t="shared" si="32"/>
        <v>19.318447462477323</v>
      </c>
      <c r="AO110" s="776"/>
      <c r="AP110" s="779"/>
      <c r="AQ110" s="779"/>
      <c r="AR110" s="782"/>
      <c r="AV110" s="103">
        <f t="shared" ref="AV110:AY110" si="33">AV52</f>
        <v>0</v>
      </c>
      <c r="AW110" s="104" t="str">
        <f t="shared" si="33"/>
        <v>Set 5 24h</v>
      </c>
      <c r="AX110" s="104" t="str">
        <f t="shared" si="33"/>
        <v>GAPDH</v>
      </c>
      <c r="AY110" s="105">
        <f t="shared" si="33"/>
        <v>19.318447462477323</v>
      </c>
      <c r="AZ110" s="776"/>
      <c r="BA110" s="779"/>
      <c r="BB110" s="779"/>
      <c r="BC110" s="782"/>
      <c r="BG110" s="103">
        <f t="shared" ref="BG110:BJ110" si="34">BG52</f>
        <v>0</v>
      </c>
      <c r="BH110" s="104" t="str">
        <f t="shared" si="34"/>
        <v>GFP 24h</v>
      </c>
      <c r="BI110" s="104" t="str">
        <f t="shared" si="34"/>
        <v>GAPDH</v>
      </c>
      <c r="BJ110" s="105">
        <f t="shared" si="34"/>
        <v>18.980716659280915</v>
      </c>
      <c r="BK110" s="776"/>
      <c r="BL110" s="779"/>
      <c r="BM110" s="779"/>
      <c r="BN110" s="782"/>
    </row>
    <row r="111" spans="1:67" ht="16.2" thickBot="1">
      <c r="A111" s="774"/>
      <c r="B111" s="774"/>
      <c r="C111" s="106">
        <f>C53</f>
        <v>0</v>
      </c>
      <c r="D111" s="107" t="str">
        <f t="shared" ref="D111:F111" si="35">D53</f>
        <v>WT 24h</v>
      </c>
      <c r="E111" s="107" t="str">
        <f t="shared" si="35"/>
        <v>GAPDH</v>
      </c>
      <c r="F111" s="116">
        <f t="shared" si="35"/>
        <v>20.540262505794239</v>
      </c>
      <c r="G111" s="792"/>
      <c r="H111" s="793"/>
      <c r="I111" s="15"/>
      <c r="J111" s="793"/>
      <c r="K111" s="794"/>
      <c r="L111" s="1"/>
      <c r="M111" s="1"/>
      <c r="N111" s="1"/>
      <c r="O111" s="106">
        <f t="shared" si="13"/>
        <v>0</v>
      </c>
      <c r="P111" s="107" t="str">
        <f t="shared" si="13"/>
        <v>Set 1 24h</v>
      </c>
      <c r="Q111" s="107" t="str">
        <f t="shared" si="13"/>
        <v>GAPDH</v>
      </c>
      <c r="R111" s="108">
        <f t="shared" si="13"/>
        <v>18.856032737204039</v>
      </c>
      <c r="S111" s="792"/>
      <c r="T111" s="793"/>
      <c r="U111" s="793"/>
      <c r="V111" s="794"/>
      <c r="Z111" s="106">
        <f t="shared" ref="Z111:AC111" si="36">Z53</f>
        <v>0</v>
      </c>
      <c r="AA111" s="107" t="str">
        <f t="shared" si="36"/>
        <v>Set 2 24h</v>
      </c>
      <c r="AB111" s="107" t="str">
        <f t="shared" si="36"/>
        <v>GAPDH</v>
      </c>
      <c r="AC111" s="108">
        <f t="shared" si="36"/>
        <v>18.852242629436233</v>
      </c>
      <c r="AD111" s="792"/>
      <c r="AE111" s="793"/>
      <c r="AF111" s="793"/>
      <c r="AG111" s="794"/>
      <c r="AK111" s="106">
        <f t="shared" ref="AK111:AN111" si="37">AK53</f>
        <v>0</v>
      </c>
      <c r="AL111" s="107" t="str">
        <f t="shared" si="37"/>
        <v>Set 4 24h</v>
      </c>
      <c r="AM111" s="107" t="str">
        <f t="shared" si="37"/>
        <v>GAPDH</v>
      </c>
      <c r="AN111" s="108">
        <f t="shared" si="37"/>
        <v>19.252158700682486</v>
      </c>
      <c r="AO111" s="792"/>
      <c r="AP111" s="793"/>
      <c r="AQ111" s="793"/>
      <c r="AR111" s="794"/>
      <c r="AV111" s="106">
        <f t="shared" ref="AV111:AY111" si="38">AV53</f>
        <v>0</v>
      </c>
      <c r="AW111" s="107" t="str">
        <f t="shared" si="38"/>
        <v>Set 5 24h</v>
      </c>
      <c r="AX111" s="107" t="str">
        <f t="shared" si="38"/>
        <v>GAPDH</v>
      </c>
      <c r="AY111" s="108">
        <f t="shared" si="38"/>
        <v>19.252158700682486</v>
      </c>
      <c r="AZ111" s="792"/>
      <c r="BA111" s="793"/>
      <c r="BB111" s="793"/>
      <c r="BC111" s="794"/>
      <c r="BG111" s="106">
        <f t="shared" ref="BG111:BJ111" si="39">BG53</f>
        <v>0</v>
      </c>
      <c r="BH111" s="107" t="str">
        <f t="shared" si="39"/>
        <v>GFP 24h</v>
      </c>
      <c r="BI111" s="107" t="str">
        <f t="shared" si="39"/>
        <v>GAPDH</v>
      </c>
      <c r="BJ111" s="108">
        <f t="shared" si="39"/>
        <v>18.24805765696734</v>
      </c>
      <c r="BK111" s="792"/>
      <c r="BL111" s="793"/>
      <c r="BM111" s="793"/>
      <c r="BN111" s="794"/>
    </row>
    <row r="112" spans="1:67">
      <c r="A112" s="1"/>
      <c r="B112" s="1"/>
      <c r="C112" s="1"/>
      <c r="D112" s="1"/>
      <c r="E112" s="1"/>
      <c r="F112" s="1"/>
      <c r="G112" s="1"/>
      <c r="H112" s="1"/>
      <c r="I112" s="1"/>
      <c r="J112" s="1"/>
      <c r="K112" s="1"/>
      <c r="L112" s="1"/>
      <c r="M112" s="1"/>
      <c r="N112" s="1"/>
      <c r="O112" s="1"/>
      <c r="P112" s="1"/>
      <c r="Q112" s="1"/>
      <c r="R112" s="1"/>
      <c r="S112" s="1"/>
      <c r="T112" s="1"/>
      <c r="U112" s="1"/>
      <c r="V112" s="1"/>
      <c r="Z112" s="1"/>
      <c r="AA112" s="1"/>
      <c r="AB112" s="1"/>
      <c r="AC112" s="1"/>
      <c r="AD112" s="1"/>
      <c r="AE112" s="1"/>
      <c r="AF112" s="1"/>
      <c r="AG112" s="1"/>
      <c r="AK112" s="1"/>
      <c r="AL112" s="1"/>
      <c r="AM112" s="1"/>
      <c r="AN112" s="1"/>
      <c r="AO112" s="1"/>
      <c r="AP112" s="1"/>
      <c r="AQ112" s="1"/>
      <c r="AR112" s="1"/>
      <c r="AV112" s="1"/>
      <c r="AW112" s="1"/>
      <c r="AX112" s="1"/>
      <c r="AY112" s="1"/>
      <c r="AZ112" s="1"/>
      <c r="BA112" s="1"/>
      <c r="BB112" s="1"/>
      <c r="BC112" s="1"/>
      <c r="BG112" s="1"/>
      <c r="BH112" s="1"/>
      <c r="BI112" s="1"/>
      <c r="BJ112" s="1"/>
      <c r="BK112" s="1"/>
      <c r="BL112" s="1"/>
      <c r="BM112" s="1"/>
      <c r="BN112" s="1"/>
    </row>
    <row r="113" spans="1:66" ht="16.2" thickBot="1">
      <c r="A113" s="1"/>
      <c r="B113" s="1"/>
      <c r="C113" s="1"/>
      <c r="D113" s="1"/>
      <c r="E113" s="1"/>
      <c r="F113" s="1"/>
      <c r="G113" s="1"/>
      <c r="H113" s="1"/>
      <c r="I113" s="1"/>
      <c r="J113" s="1"/>
      <c r="K113" s="1"/>
      <c r="L113" s="1"/>
      <c r="M113" s="1"/>
      <c r="N113" s="1"/>
      <c r="O113" s="1"/>
      <c r="P113" s="1"/>
      <c r="Q113" s="1"/>
      <c r="R113" s="1"/>
      <c r="S113" s="1"/>
      <c r="T113" s="1"/>
      <c r="U113" s="1"/>
      <c r="V113" s="1"/>
      <c r="Z113" s="1"/>
      <c r="AA113" s="1"/>
      <c r="AB113" s="1"/>
      <c r="AC113" s="1"/>
      <c r="AD113" s="1"/>
      <c r="AE113" s="1"/>
      <c r="AF113" s="1"/>
      <c r="AG113" s="1"/>
      <c r="AK113" s="1"/>
      <c r="AL113" s="1"/>
      <c r="AM113" s="1"/>
      <c r="AN113" s="1"/>
      <c r="AO113" s="1"/>
      <c r="AP113" s="1"/>
      <c r="AQ113" s="1"/>
      <c r="AR113" s="1"/>
      <c r="AV113" s="1"/>
      <c r="AW113" s="1"/>
      <c r="AX113" s="1"/>
      <c r="AY113" s="1"/>
      <c r="AZ113" s="1"/>
      <c r="BA113" s="1"/>
      <c r="BB113" s="1"/>
      <c r="BC113" s="1"/>
      <c r="BG113" s="1"/>
      <c r="BH113" s="1"/>
      <c r="BI113" s="1"/>
      <c r="BJ113" s="1"/>
      <c r="BK113" s="1"/>
      <c r="BL113" s="1"/>
      <c r="BM113" s="1"/>
      <c r="BN113" s="1"/>
    </row>
    <row r="114" spans="1:66" ht="16.2" thickBot="1">
      <c r="A114" s="802" t="s">
        <v>10</v>
      </c>
      <c r="B114" s="802" t="str">
        <f>E54</f>
        <v>nsP3</v>
      </c>
      <c r="C114" s="718" t="str">
        <f>C43</f>
        <v>WT 24h</v>
      </c>
      <c r="D114" s="719"/>
      <c r="E114" s="719"/>
      <c r="F114" s="719"/>
      <c r="G114" s="719"/>
      <c r="H114" s="719"/>
      <c r="I114" s="719"/>
      <c r="J114" s="719"/>
      <c r="K114" s="720"/>
      <c r="L114" s="1"/>
      <c r="M114" s="1"/>
      <c r="N114" s="1"/>
      <c r="O114" s="718" t="str">
        <f>O43</f>
        <v>Set 1 24h</v>
      </c>
      <c r="P114" s="719"/>
      <c r="Q114" s="719"/>
      <c r="R114" s="719"/>
      <c r="S114" s="719"/>
      <c r="T114" s="719"/>
      <c r="U114" s="719"/>
      <c r="V114" s="720"/>
      <c r="Z114" s="718" t="str">
        <f>Z43</f>
        <v>Set 2 24h</v>
      </c>
      <c r="AA114" s="719"/>
      <c r="AB114" s="719"/>
      <c r="AC114" s="719"/>
      <c r="AD114" s="719"/>
      <c r="AE114" s="719"/>
      <c r="AF114" s="719"/>
      <c r="AG114" s="720"/>
      <c r="AK114" s="718" t="str">
        <f>AK43</f>
        <v>Set 4 24h</v>
      </c>
      <c r="AL114" s="719"/>
      <c r="AM114" s="719"/>
      <c r="AN114" s="719"/>
      <c r="AO114" s="719"/>
      <c r="AP114" s="719"/>
      <c r="AQ114" s="719"/>
      <c r="AR114" s="720"/>
      <c r="AV114" s="718" t="str">
        <f>AX3</f>
        <v>Set 5 24h</v>
      </c>
      <c r="AW114" s="719"/>
      <c r="AX114" s="719"/>
      <c r="AY114" s="719"/>
      <c r="AZ114" s="719"/>
      <c r="BA114" s="719"/>
      <c r="BB114" s="719"/>
      <c r="BC114" s="720"/>
      <c r="BG114" s="718" t="str">
        <f>BI3</f>
        <v>GFP 24h</v>
      </c>
      <c r="BH114" s="719"/>
      <c r="BI114" s="719"/>
      <c r="BJ114" s="719"/>
      <c r="BK114" s="719"/>
      <c r="BL114" s="719"/>
      <c r="BM114" s="719"/>
      <c r="BN114" s="720"/>
    </row>
    <row r="115" spans="1:66" ht="16.2">
      <c r="A115" s="803"/>
      <c r="B115" s="803"/>
      <c r="C115" s="131" t="s">
        <v>0</v>
      </c>
      <c r="D115" s="132" t="s">
        <v>1</v>
      </c>
      <c r="E115" s="132" t="s">
        <v>2</v>
      </c>
      <c r="F115" s="144" t="s">
        <v>3</v>
      </c>
      <c r="G115" s="17" t="s">
        <v>4</v>
      </c>
      <c r="H115" s="9" t="s">
        <v>5</v>
      </c>
      <c r="I115" s="9" t="s">
        <v>6</v>
      </c>
      <c r="J115" s="10" t="s">
        <v>7</v>
      </c>
      <c r="K115" s="11" t="s">
        <v>8</v>
      </c>
      <c r="L115" s="1"/>
      <c r="M115" s="1"/>
      <c r="N115" s="1"/>
      <c r="O115" s="131" t="s">
        <v>0</v>
      </c>
      <c r="P115" s="132" t="s">
        <v>1</v>
      </c>
      <c r="Q115" s="132" t="s">
        <v>2</v>
      </c>
      <c r="R115" s="133" t="s">
        <v>3</v>
      </c>
      <c r="S115" s="134" t="s">
        <v>4</v>
      </c>
      <c r="T115" s="135" t="s">
        <v>5</v>
      </c>
      <c r="U115" s="10" t="s">
        <v>7</v>
      </c>
      <c r="V115" s="11" t="s">
        <v>8</v>
      </c>
      <c r="Z115" s="131" t="s">
        <v>0</v>
      </c>
      <c r="AA115" s="132" t="s">
        <v>1</v>
      </c>
      <c r="AB115" s="132" t="s">
        <v>2</v>
      </c>
      <c r="AC115" s="133" t="s">
        <v>3</v>
      </c>
      <c r="AD115" s="134" t="s">
        <v>4</v>
      </c>
      <c r="AE115" s="135" t="s">
        <v>5</v>
      </c>
      <c r="AF115" s="10" t="s">
        <v>7</v>
      </c>
      <c r="AG115" s="11" t="s">
        <v>8</v>
      </c>
      <c r="AK115" s="131" t="s">
        <v>0</v>
      </c>
      <c r="AL115" s="132" t="s">
        <v>1</v>
      </c>
      <c r="AM115" s="132" t="s">
        <v>2</v>
      </c>
      <c r="AN115" s="133" t="s">
        <v>3</v>
      </c>
      <c r="AO115" s="134" t="s">
        <v>4</v>
      </c>
      <c r="AP115" s="135" t="s">
        <v>5</v>
      </c>
      <c r="AQ115" s="10" t="s">
        <v>7</v>
      </c>
      <c r="AR115" s="11" t="s">
        <v>8</v>
      </c>
      <c r="AV115" s="131" t="s">
        <v>0</v>
      </c>
      <c r="AW115" s="132" t="s">
        <v>1</v>
      </c>
      <c r="AX115" s="132" t="s">
        <v>2</v>
      </c>
      <c r="AY115" s="133" t="s">
        <v>3</v>
      </c>
      <c r="AZ115" s="134" t="s">
        <v>4</v>
      </c>
      <c r="BA115" s="135" t="s">
        <v>5</v>
      </c>
      <c r="BB115" s="10" t="s">
        <v>7</v>
      </c>
      <c r="BC115" s="11" t="s">
        <v>8</v>
      </c>
      <c r="BG115" s="131" t="s">
        <v>0</v>
      </c>
      <c r="BH115" s="132" t="s">
        <v>1</v>
      </c>
      <c r="BI115" s="132" t="s">
        <v>2</v>
      </c>
      <c r="BJ115" s="133" t="s">
        <v>3</v>
      </c>
      <c r="BK115" s="134" t="s">
        <v>4</v>
      </c>
      <c r="BL115" s="135" t="s">
        <v>5</v>
      </c>
      <c r="BM115" s="10" t="s">
        <v>7</v>
      </c>
      <c r="BN115" s="11" t="s">
        <v>8</v>
      </c>
    </row>
    <row r="116" spans="1:66">
      <c r="A116" s="803"/>
      <c r="B116" s="803"/>
      <c r="C116" s="54">
        <f t="shared" ref="C116:K116" si="40">C54</f>
        <v>0</v>
      </c>
      <c r="D116" s="55" t="str">
        <f t="shared" si="40"/>
        <v>WT 24h</v>
      </c>
      <c r="E116" s="55" t="str">
        <f t="shared" si="40"/>
        <v>nsP3</v>
      </c>
      <c r="F116" s="56">
        <f t="shared" si="40"/>
        <v>0</v>
      </c>
      <c r="G116" s="721">
        <f t="shared" si="40"/>
        <v>18.462687911600511</v>
      </c>
      <c r="H116" s="722">
        <f t="shared" si="40"/>
        <v>-2.0088851066664937</v>
      </c>
      <c r="I116" s="722">
        <f t="shared" si="40"/>
        <v>-1.9180629893664793</v>
      </c>
      <c r="J116" s="724">
        <f t="shared" si="40"/>
        <v>-9.0822117300014327E-2</v>
      </c>
      <c r="K116" s="705">
        <f t="shared" si="40"/>
        <v>1.0649768848279992</v>
      </c>
      <c r="L116" s="1"/>
      <c r="M116" s="1"/>
      <c r="N116" s="1"/>
      <c r="O116" s="54">
        <f t="shared" ref="O116:V116" si="41">O54</f>
        <v>0</v>
      </c>
      <c r="P116" s="55" t="str">
        <f t="shared" si="41"/>
        <v>Set 1 24h</v>
      </c>
      <c r="Q116" s="55" t="str">
        <f t="shared" si="41"/>
        <v>nsP3</v>
      </c>
      <c r="R116" s="56">
        <f t="shared" si="41"/>
        <v>19.075894881140734</v>
      </c>
      <c r="S116" s="721">
        <f t="shared" si="41"/>
        <v>18.867161850841594</v>
      </c>
      <c r="T116" s="722">
        <f t="shared" si="41"/>
        <v>-0.65431146587104649</v>
      </c>
      <c r="U116" s="724">
        <f t="shared" si="41"/>
        <v>1.2637515234954328</v>
      </c>
      <c r="V116" s="705">
        <f t="shared" si="41"/>
        <v>0.41645960643024144</v>
      </c>
      <c r="Z116" s="54">
        <f t="shared" ref="Z116:AG116" si="42">Z54</f>
        <v>0</v>
      </c>
      <c r="AA116" s="55" t="str">
        <f t="shared" si="42"/>
        <v>Set 2 24h</v>
      </c>
      <c r="AB116" s="55" t="str">
        <f t="shared" si="42"/>
        <v>nsP3</v>
      </c>
      <c r="AC116" s="56">
        <f t="shared" si="42"/>
        <v>18.231772850039739</v>
      </c>
      <c r="AD116" s="721">
        <f t="shared" si="42"/>
        <v>18.070737417050292</v>
      </c>
      <c r="AE116" s="722">
        <f t="shared" si="42"/>
        <v>0.54113763715282914</v>
      </c>
      <c r="AF116" s="724">
        <f t="shared" si="42"/>
        <v>2.4592006265193085</v>
      </c>
      <c r="AG116" s="705">
        <f t="shared" si="42"/>
        <v>0.18184729533706392</v>
      </c>
      <c r="AK116" s="54">
        <f t="shared" ref="AK116:AR116" si="43">AK54</f>
        <v>0</v>
      </c>
      <c r="AL116" s="55" t="str">
        <f t="shared" si="43"/>
        <v>Set 4 24h</v>
      </c>
      <c r="AM116" s="55" t="str">
        <f t="shared" si="43"/>
        <v>nsP3</v>
      </c>
      <c r="AN116" s="56">
        <f t="shared" si="43"/>
        <v>20.782261044498419</v>
      </c>
      <c r="AO116" s="721">
        <f t="shared" si="43"/>
        <v>20.708841824844779</v>
      </c>
      <c r="AP116" s="722">
        <f t="shared" si="43"/>
        <v>0.34053530005575539</v>
      </c>
      <c r="AQ116" s="724">
        <f t="shared" si="43"/>
        <v>2.2585982894222347</v>
      </c>
      <c r="AR116" s="705">
        <f t="shared" si="43"/>
        <v>0.20897491955851222</v>
      </c>
      <c r="AV116" s="54">
        <f t="shared" ref="AV116:BC116" si="44">AV54</f>
        <v>0</v>
      </c>
      <c r="AW116" s="55" t="str">
        <f t="shared" si="44"/>
        <v>Set 5 24h</v>
      </c>
      <c r="AX116" s="55" t="str">
        <f t="shared" si="44"/>
        <v>nsP3</v>
      </c>
      <c r="AY116" s="56">
        <f t="shared" si="44"/>
        <v>0</v>
      </c>
      <c r="AZ116" s="721">
        <f t="shared" si="44"/>
        <v>18.889539797770254</v>
      </c>
      <c r="BA116" s="722">
        <f t="shared" si="44"/>
        <v>-1.478766727018769</v>
      </c>
      <c r="BB116" s="724">
        <f t="shared" si="44"/>
        <v>0.43929626234771035</v>
      </c>
      <c r="BC116" s="705">
        <f t="shared" si="44"/>
        <v>0.73749426602714252</v>
      </c>
      <c r="BG116" s="54">
        <f t="shared" ref="BG116:BN116" si="45">BG54</f>
        <v>0</v>
      </c>
      <c r="BH116" s="55" t="str">
        <f t="shared" si="45"/>
        <v>GFP 24h</v>
      </c>
      <c r="BI116" s="55" t="str">
        <f t="shared" si="45"/>
        <v>nsP3</v>
      </c>
      <c r="BJ116" s="56">
        <f t="shared" si="45"/>
        <v>17.757053056339963</v>
      </c>
      <c r="BK116" s="721">
        <f t="shared" si="45"/>
        <v>17.463924129744729</v>
      </c>
      <c r="BL116" s="722">
        <f t="shared" si="45"/>
        <v>-0.42822188956027674</v>
      </c>
      <c r="BM116" s="724">
        <f t="shared" si="45"/>
        <v>1.4898410998062026</v>
      </c>
      <c r="BN116" s="705">
        <f t="shared" si="45"/>
        <v>0.35605176271569849</v>
      </c>
    </row>
    <row r="117" spans="1:66">
      <c r="A117" s="803"/>
      <c r="B117" s="803"/>
      <c r="C117" s="54">
        <f t="shared" ref="C117:E118" si="46">C55</f>
        <v>0</v>
      </c>
      <c r="D117" s="55" t="str">
        <f t="shared" si="46"/>
        <v>WT 24h</v>
      </c>
      <c r="E117" s="55" t="str">
        <f t="shared" si="46"/>
        <v>nsP3</v>
      </c>
      <c r="F117" s="56">
        <f>F55</f>
        <v>0</v>
      </c>
      <c r="G117" s="709"/>
      <c r="H117" s="712"/>
      <c r="I117" s="712"/>
      <c r="J117" s="715"/>
      <c r="K117" s="706"/>
      <c r="L117" s="1"/>
      <c r="M117" s="1"/>
      <c r="N117" s="1"/>
      <c r="O117" s="54">
        <f t="shared" ref="O117:R118" si="47">O55</f>
        <v>0</v>
      </c>
      <c r="P117" s="55" t="str">
        <f t="shared" si="47"/>
        <v>Set 1 24h</v>
      </c>
      <c r="Q117" s="55" t="str">
        <f t="shared" si="47"/>
        <v>nsP3</v>
      </c>
      <c r="R117" s="56">
        <f t="shared" si="47"/>
        <v>18.406873824484691</v>
      </c>
      <c r="S117" s="709"/>
      <c r="T117" s="712"/>
      <c r="U117" s="715"/>
      <c r="V117" s="706"/>
      <c r="Z117" s="54">
        <f t="shared" ref="Z117:AC118" si="48">Z55</f>
        <v>0</v>
      </c>
      <c r="AA117" s="55" t="str">
        <f t="shared" si="48"/>
        <v>Set 2 24h</v>
      </c>
      <c r="AB117" s="55" t="str">
        <f t="shared" si="48"/>
        <v>nsP3</v>
      </c>
      <c r="AC117" s="56">
        <f t="shared" si="48"/>
        <v>17.814542702637389</v>
      </c>
      <c r="AD117" s="709"/>
      <c r="AE117" s="712"/>
      <c r="AF117" s="715"/>
      <c r="AG117" s="706"/>
      <c r="AK117" s="54">
        <f t="shared" ref="AK117:AN118" si="49">AK55</f>
        <v>0</v>
      </c>
      <c r="AL117" s="55" t="str">
        <f t="shared" si="49"/>
        <v>Set 4 24h</v>
      </c>
      <c r="AM117" s="55" t="str">
        <f t="shared" si="49"/>
        <v>nsP3</v>
      </c>
      <c r="AN117" s="56">
        <f t="shared" si="49"/>
        <v>20.61187312903003</v>
      </c>
      <c r="AO117" s="709"/>
      <c r="AP117" s="712"/>
      <c r="AQ117" s="715"/>
      <c r="AR117" s="706"/>
      <c r="AV117" s="54">
        <f t="shared" ref="AV117:AY118" si="50">AV55</f>
        <v>0</v>
      </c>
      <c r="AW117" s="55" t="str">
        <f t="shared" si="50"/>
        <v>Set 5 24h</v>
      </c>
      <c r="AX117" s="55" t="str">
        <f t="shared" si="50"/>
        <v>nsP3</v>
      </c>
      <c r="AY117" s="56">
        <f t="shared" si="50"/>
        <v>0</v>
      </c>
      <c r="AZ117" s="709"/>
      <c r="BA117" s="712"/>
      <c r="BB117" s="715"/>
      <c r="BC117" s="706"/>
      <c r="BG117" s="54">
        <f t="shared" ref="BG117:BJ118" si="51">BG55</f>
        <v>0</v>
      </c>
      <c r="BH117" s="55" t="str">
        <f t="shared" si="51"/>
        <v>GFP 24h</v>
      </c>
      <c r="BI117" s="55" t="str">
        <f t="shared" si="51"/>
        <v>nsP3</v>
      </c>
      <c r="BJ117" s="56">
        <f t="shared" si="51"/>
        <v>17.049854392433758</v>
      </c>
      <c r="BK117" s="709"/>
      <c r="BL117" s="712"/>
      <c r="BM117" s="715"/>
      <c r="BN117" s="706"/>
    </row>
    <row r="118" spans="1:66">
      <c r="A118" s="803"/>
      <c r="B118" s="803"/>
      <c r="C118" s="57">
        <f t="shared" si="46"/>
        <v>0</v>
      </c>
      <c r="D118" s="58" t="str">
        <f t="shared" si="46"/>
        <v>WT 24h</v>
      </c>
      <c r="E118" s="58" t="str">
        <f t="shared" si="46"/>
        <v>nsP3</v>
      </c>
      <c r="F118" s="59">
        <f>F56</f>
        <v>18.462687911600511</v>
      </c>
      <c r="G118" s="710"/>
      <c r="H118" s="713"/>
      <c r="I118" s="712"/>
      <c r="J118" s="716"/>
      <c r="K118" s="707"/>
      <c r="L118" s="1"/>
      <c r="M118" s="1"/>
      <c r="N118" s="1"/>
      <c r="O118" s="57">
        <f t="shared" si="47"/>
        <v>0</v>
      </c>
      <c r="P118" s="58" t="str">
        <f t="shared" si="47"/>
        <v>Set 1 24h</v>
      </c>
      <c r="Q118" s="58" t="str">
        <f t="shared" si="47"/>
        <v>nsP3</v>
      </c>
      <c r="R118" s="59">
        <f t="shared" si="47"/>
        <v>19.118716846899353</v>
      </c>
      <c r="S118" s="710"/>
      <c r="T118" s="713"/>
      <c r="U118" s="716"/>
      <c r="V118" s="707"/>
      <c r="Z118" s="57">
        <f t="shared" si="48"/>
        <v>0</v>
      </c>
      <c r="AA118" s="58" t="str">
        <f t="shared" si="48"/>
        <v>Set 2 24h</v>
      </c>
      <c r="AB118" s="58" t="str">
        <f t="shared" si="48"/>
        <v>nsP3</v>
      </c>
      <c r="AC118" s="59">
        <f t="shared" si="48"/>
        <v>18.165896698473752</v>
      </c>
      <c r="AD118" s="710"/>
      <c r="AE118" s="713"/>
      <c r="AF118" s="716"/>
      <c r="AG118" s="707"/>
      <c r="AK118" s="57">
        <f t="shared" si="49"/>
        <v>0</v>
      </c>
      <c r="AL118" s="58" t="str">
        <f t="shared" si="49"/>
        <v>Set 4 24h</v>
      </c>
      <c r="AM118" s="58" t="str">
        <f t="shared" si="49"/>
        <v>nsP3</v>
      </c>
      <c r="AN118" s="59">
        <f t="shared" si="49"/>
        <v>20.732391301005883</v>
      </c>
      <c r="AO118" s="710"/>
      <c r="AP118" s="713"/>
      <c r="AQ118" s="716"/>
      <c r="AR118" s="707"/>
      <c r="AV118" s="57">
        <f t="shared" si="50"/>
        <v>0</v>
      </c>
      <c r="AW118" s="58" t="str">
        <f t="shared" si="50"/>
        <v>Set 5 24h</v>
      </c>
      <c r="AX118" s="58" t="str">
        <f t="shared" si="50"/>
        <v>nsP3</v>
      </c>
      <c r="AY118" s="59">
        <f t="shared" si="50"/>
        <v>18.889539797770254</v>
      </c>
      <c r="AZ118" s="710"/>
      <c r="BA118" s="713"/>
      <c r="BB118" s="716"/>
      <c r="BC118" s="707"/>
      <c r="BG118" s="57">
        <f t="shared" si="51"/>
        <v>0</v>
      </c>
      <c r="BH118" s="58" t="str">
        <f t="shared" si="51"/>
        <v>GFP 24h</v>
      </c>
      <c r="BI118" s="58" t="str">
        <f t="shared" si="51"/>
        <v>nsP3</v>
      </c>
      <c r="BJ118" s="59">
        <f t="shared" si="51"/>
        <v>17.58486494046047</v>
      </c>
      <c r="BK118" s="710"/>
      <c r="BL118" s="713"/>
      <c r="BM118" s="716"/>
      <c r="BN118" s="707"/>
    </row>
    <row r="119" spans="1:66">
      <c r="A119" s="803"/>
      <c r="B119" s="803"/>
      <c r="C119" s="67">
        <f t="shared" ref="C119:F124" si="52">C57</f>
        <v>0</v>
      </c>
      <c r="D119" s="68" t="str">
        <f t="shared" si="52"/>
        <v>WT 24h</v>
      </c>
      <c r="E119" s="68" t="str">
        <f t="shared" si="52"/>
        <v>nsP3</v>
      </c>
      <c r="F119" s="69">
        <f t="shared" si="52"/>
        <v>19.064070821592281</v>
      </c>
      <c r="G119" s="708">
        <f>G57</f>
        <v>18.704449846483065</v>
      </c>
      <c r="H119" s="711">
        <f>H57</f>
        <v>-1.9586608295493342</v>
      </c>
      <c r="I119" s="712"/>
      <c r="J119" s="714">
        <f>J57</f>
        <v>-4.0597840182854839E-2</v>
      </c>
      <c r="K119" s="717">
        <f>K57</f>
        <v>1.0285399563027453</v>
      </c>
      <c r="L119" s="1"/>
      <c r="M119" s="1"/>
      <c r="N119" s="1"/>
      <c r="O119" s="67">
        <f t="shared" ref="O119:R124" si="53">O57</f>
        <v>0</v>
      </c>
      <c r="P119" s="68" t="str">
        <f t="shared" si="53"/>
        <v>Set 1 24h</v>
      </c>
      <c r="Q119" s="68" t="str">
        <f t="shared" si="53"/>
        <v>nsP3</v>
      </c>
      <c r="R119" s="69">
        <f t="shared" si="53"/>
        <v>18.110746914358998</v>
      </c>
      <c r="S119" s="708">
        <f>S57</f>
        <v>17.858328581742018</v>
      </c>
      <c r="T119" s="711">
        <f>T57</f>
        <v>0.20961932678935469</v>
      </c>
      <c r="U119" s="714">
        <f>U57</f>
        <v>2.127682316155834</v>
      </c>
      <c r="V119" s="717">
        <f>V57</f>
        <v>0.22882517416806944</v>
      </c>
      <c r="Z119" s="67">
        <f t="shared" ref="Z119:AC119" si="54">Z57</f>
        <v>0</v>
      </c>
      <c r="AA119" s="68" t="str">
        <f t="shared" si="54"/>
        <v>Set 2 24h</v>
      </c>
      <c r="AB119" s="68" t="str">
        <f t="shared" si="54"/>
        <v>nsP3</v>
      </c>
      <c r="AC119" s="69">
        <f t="shared" si="54"/>
        <v>18.20799314863595</v>
      </c>
      <c r="AD119" s="708">
        <f>AD57</f>
        <v>17.751046339467454</v>
      </c>
      <c r="AE119" s="711">
        <f>AE57</f>
        <v>-0.10768171556419404</v>
      </c>
      <c r="AF119" s="714">
        <f>AF57</f>
        <v>1.8103812738022853</v>
      </c>
      <c r="AG119" s="717">
        <f>AG57</f>
        <v>0.28511556899167234</v>
      </c>
      <c r="AK119" s="67">
        <f t="shared" ref="AK119:AN119" si="55">AK57</f>
        <v>0</v>
      </c>
      <c r="AL119" s="68" t="str">
        <f t="shared" si="55"/>
        <v>Set 4 24h</v>
      </c>
      <c r="AM119" s="68" t="str">
        <f t="shared" si="55"/>
        <v>nsP3</v>
      </c>
      <c r="AN119" s="69">
        <f t="shared" si="55"/>
        <v>20.940366404374231</v>
      </c>
      <c r="AO119" s="708">
        <f>AO57</f>
        <v>20.798443608062296</v>
      </c>
      <c r="AP119" s="711">
        <f>AP57</f>
        <v>0.4775987448409218</v>
      </c>
      <c r="AQ119" s="714">
        <f>AQ57</f>
        <v>2.3956617342074011</v>
      </c>
      <c r="AR119" s="717">
        <f>AR57</f>
        <v>0.19003515898692047</v>
      </c>
      <c r="AV119" s="67">
        <f t="shared" ref="AV119:AY119" si="56">AV57</f>
        <v>0</v>
      </c>
      <c r="AW119" s="68" t="str">
        <f t="shared" si="56"/>
        <v>Set 5 24h</v>
      </c>
      <c r="AX119" s="68" t="str">
        <f t="shared" si="56"/>
        <v>nsP3</v>
      </c>
      <c r="AY119" s="69">
        <f t="shared" si="56"/>
        <v>0</v>
      </c>
      <c r="AZ119" s="708">
        <f>AZ57</f>
        <v>19.140344501885117</v>
      </c>
      <c r="BA119" s="711">
        <f>BA57</f>
        <v>-1.1805003613362572</v>
      </c>
      <c r="BB119" s="714">
        <f>BB57</f>
        <v>0.7375626280302221</v>
      </c>
      <c r="BC119" s="717">
        <f>BC57</f>
        <v>0.59975175196635033</v>
      </c>
      <c r="BG119" s="67">
        <f t="shared" ref="BG119:BI119" si="57">BG57</f>
        <v>0</v>
      </c>
      <c r="BH119" s="68" t="str">
        <f t="shared" si="57"/>
        <v>GFP 24h</v>
      </c>
      <c r="BI119" s="68" t="str">
        <f t="shared" si="57"/>
        <v>nsP3</v>
      </c>
      <c r="BJ119" s="69">
        <f>BJ57</f>
        <v>17.027959315005688</v>
      </c>
      <c r="BK119" s="708">
        <f>BK57</f>
        <v>17.037904990187926</v>
      </c>
      <c r="BL119" s="711">
        <f>BL57</f>
        <v>-1.424587211703443</v>
      </c>
      <c r="BM119" s="714">
        <f>BM57</f>
        <v>0.4934757776630363</v>
      </c>
      <c r="BN119" s="717">
        <f>BN57</f>
        <v>0.71031173355441313</v>
      </c>
    </row>
    <row r="120" spans="1:66">
      <c r="A120" s="803"/>
      <c r="B120" s="803"/>
      <c r="C120" s="67">
        <f t="shared" si="52"/>
        <v>0</v>
      </c>
      <c r="D120" s="68" t="str">
        <f t="shared" si="52"/>
        <v>WT 24h</v>
      </c>
      <c r="E120" s="68" t="str">
        <f t="shared" si="52"/>
        <v>nsP3</v>
      </c>
      <c r="F120" s="69">
        <f t="shared" si="52"/>
        <v>18.513968588103985</v>
      </c>
      <c r="G120" s="709"/>
      <c r="H120" s="712"/>
      <c r="I120" s="712"/>
      <c r="J120" s="715"/>
      <c r="K120" s="706"/>
      <c r="L120" s="1"/>
      <c r="M120" s="1"/>
      <c r="N120" s="1"/>
      <c r="O120" s="67">
        <f t="shared" si="53"/>
        <v>0</v>
      </c>
      <c r="P120" s="68" t="str">
        <f t="shared" si="53"/>
        <v>Set 1 24h</v>
      </c>
      <c r="Q120" s="68" t="str">
        <f t="shared" si="53"/>
        <v>nsP3</v>
      </c>
      <c r="R120" s="69">
        <f t="shared" si="53"/>
        <v>18.26473888946574</v>
      </c>
      <c r="S120" s="709"/>
      <c r="T120" s="712"/>
      <c r="U120" s="715"/>
      <c r="V120" s="706"/>
      <c r="Z120" s="67">
        <f t="shared" ref="Z120:AC120" si="58">Z58</f>
        <v>0</v>
      </c>
      <c r="AA120" s="68" t="str">
        <f t="shared" si="58"/>
        <v>Set 2 24h</v>
      </c>
      <c r="AB120" s="68" t="str">
        <f t="shared" si="58"/>
        <v>nsP3</v>
      </c>
      <c r="AC120" s="69">
        <f t="shared" si="58"/>
        <v>17.825047307737904</v>
      </c>
      <c r="AD120" s="709"/>
      <c r="AE120" s="712"/>
      <c r="AF120" s="715"/>
      <c r="AG120" s="706"/>
      <c r="AK120" s="67">
        <f t="shared" ref="AK120:AN120" si="59">AK58</f>
        <v>0</v>
      </c>
      <c r="AL120" s="68" t="str">
        <f t="shared" si="59"/>
        <v>Set 4 24h</v>
      </c>
      <c r="AM120" s="68" t="str">
        <f t="shared" si="59"/>
        <v>nsP3</v>
      </c>
      <c r="AN120" s="69">
        <f t="shared" si="59"/>
        <v>20.643332001521266</v>
      </c>
      <c r="AO120" s="709"/>
      <c r="AP120" s="712"/>
      <c r="AQ120" s="715"/>
      <c r="AR120" s="706"/>
      <c r="AV120" s="67">
        <f t="shared" ref="AV120:AY120" si="60">AV58</f>
        <v>0</v>
      </c>
      <c r="AW120" s="68" t="str">
        <f t="shared" si="60"/>
        <v>Set 5 24h</v>
      </c>
      <c r="AX120" s="68" t="str">
        <f t="shared" si="60"/>
        <v>nsP3</v>
      </c>
      <c r="AY120" s="69">
        <f t="shared" si="60"/>
        <v>0</v>
      </c>
      <c r="AZ120" s="709"/>
      <c r="BA120" s="712"/>
      <c r="BB120" s="715"/>
      <c r="BC120" s="706"/>
      <c r="BG120" s="67">
        <f t="shared" ref="BG120:BI120" si="61">BG58</f>
        <v>0</v>
      </c>
      <c r="BH120" s="68" t="str">
        <f t="shared" si="61"/>
        <v>GFP 24h</v>
      </c>
      <c r="BI120" s="68" t="str">
        <f t="shared" si="61"/>
        <v>nsP3</v>
      </c>
      <c r="BJ120" s="69">
        <f>BJ58</f>
        <v>17.047850665370163</v>
      </c>
      <c r="BK120" s="709"/>
      <c r="BL120" s="712"/>
      <c r="BM120" s="715"/>
      <c r="BN120" s="706"/>
    </row>
    <row r="121" spans="1:66">
      <c r="A121" s="803"/>
      <c r="B121" s="803"/>
      <c r="C121" s="70">
        <f t="shared" si="52"/>
        <v>0</v>
      </c>
      <c r="D121" s="71" t="str">
        <f t="shared" si="52"/>
        <v>WT 24h</v>
      </c>
      <c r="E121" s="71" t="str">
        <f t="shared" si="52"/>
        <v>nsP3</v>
      </c>
      <c r="F121" s="72">
        <f t="shared" si="52"/>
        <v>18.535310129752929</v>
      </c>
      <c r="G121" s="710"/>
      <c r="H121" s="713"/>
      <c r="I121" s="712"/>
      <c r="J121" s="716"/>
      <c r="K121" s="707"/>
      <c r="L121" s="1"/>
      <c r="M121" s="1"/>
      <c r="N121" s="1"/>
      <c r="O121" s="70">
        <f t="shared" si="53"/>
        <v>0</v>
      </c>
      <c r="P121" s="71" t="str">
        <f t="shared" si="53"/>
        <v>Set 1 24h</v>
      </c>
      <c r="Q121" s="71" t="str">
        <f t="shared" si="53"/>
        <v>nsP3</v>
      </c>
      <c r="R121" s="72">
        <f t="shared" si="53"/>
        <v>17.199499941401321</v>
      </c>
      <c r="S121" s="710"/>
      <c r="T121" s="713"/>
      <c r="U121" s="716"/>
      <c r="V121" s="707"/>
      <c r="Z121" s="70">
        <f t="shared" ref="Z121:AC121" si="62">Z59</f>
        <v>0</v>
      </c>
      <c r="AA121" s="71" t="str">
        <f t="shared" si="62"/>
        <v>Set 2 24h</v>
      </c>
      <c r="AB121" s="71" t="str">
        <f t="shared" si="62"/>
        <v>nsP3</v>
      </c>
      <c r="AC121" s="72">
        <f t="shared" si="62"/>
        <v>17.220098562028511</v>
      </c>
      <c r="AD121" s="710"/>
      <c r="AE121" s="713"/>
      <c r="AF121" s="716"/>
      <c r="AG121" s="707"/>
      <c r="AK121" s="70">
        <f t="shared" ref="AK121:AN121" si="63">AK59</f>
        <v>0</v>
      </c>
      <c r="AL121" s="71" t="str">
        <f t="shared" si="63"/>
        <v>Set 4 24h</v>
      </c>
      <c r="AM121" s="71" t="str">
        <f t="shared" si="63"/>
        <v>nsP3</v>
      </c>
      <c r="AN121" s="72">
        <f t="shared" si="63"/>
        <v>20.811632418291389</v>
      </c>
      <c r="AO121" s="710"/>
      <c r="AP121" s="713"/>
      <c r="AQ121" s="716"/>
      <c r="AR121" s="707"/>
      <c r="AV121" s="70">
        <f t="shared" ref="AV121:AY121" si="64">AV59</f>
        <v>0</v>
      </c>
      <c r="AW121" s="71" t="str">
        <f t="shared" si="64"/>
        <v>Set 5 24h</v>
      </c>
      <c r="AX121" s="71" t="str">
        <f t="shared" si="64"/>
        <v>nsP3</v>
      </c>
      <c r="AY121" s="72">
        <f t="shared" si="64"/>
        <v>19.140344501885117</v>
      </c>
      <c r="AZ121" s="710"/>
      <c r="BA121" s="713"/>
      <c r="BB121" s="716"/>
      <c r="BC121" s="707"/>
      <c r="BG121" s="70">
        <f t="shared" ref="BG121:BJ121" si="65">BG59</f>
        <v>0</v>
      </c>
      <c r="BH121" s="71" t="str">
        <f t="shared" si="65"/>
        <v>GFP 24h</v>
      </c>
      <c r="BI121" s="71" t="str">
        <f t="shared" si="65"/>
        <v>nsP3</v>
      </c>
      <c r="BJ121" s="72">
        <f t="shared" si="65"/>
        <v>0</v>
      </c>
      <c r="BK121" s="710"/>
      <c r="BL121" s="713"/>
      <c r="BM121" s="716"/>
      <c r="BN121" s="707"/>
    </row>
    <row r="122" spans="1:66">
      <c r="A122" s="803"/>
      <c r="B122" s="803"/>
      <c r="C122" s="54">
        <f t="shared" si="52"/>
        <v>0</v>
      </c>
      <c r="D122" s="55" t="str">
        <f t="shared" si="52"/>
        <v>WT 24h</v>
      </c>
      <c r="E122" s="55" t="str">
        <f t="shared" si="52"/>
        <v>nsP3</v>
      </c>
      <c r="F122" s="56">
        <f t="shared" si="52"/>
        <v>0</v>
      </c>
      <c r="G122" s="708">
        <f>G60</f>
        <v>18.819591766930031</v>
      </c>
      <c r="H122" s="711">
        <f>H60</f>
        <v>-1.7866430318836102</v>
      </c>
      <c r="I122" s="712"/>
      <c r="J122" s="715">
        <f>J60</f>
        <v>0.13141995748286917</v>
      </c>
      <c r="K122" s="706">
        <f>K60</f>
        <v>0.91293246367781822</v>
      </c>
      <c r="L122" s="1"/>
      <c r="M122" s="1"/>
      <c r="N122" s="1"/>
      <c r="O122" s="54">
        <f t="shared" si="53"/>
        <v>0</v>
      </c>
      <c r="P122" s="55" t="str">
        <f t="shared" si="53"/>
        <v>Set 1 24h</v>
      </c>
      <c r="Q122" s="55" t="str">
        <f t="shared" si="53"/>
        <v>nsP3</v>
      </c>
      <c r="R122" s="56">
        <f t="shared" si="53"/>
        <v>18.900067207767414</v>
      </c>
      <c r="S122" s="709">
        <f>S60</f>
        <v>19.467776970479548</v>
      </c>
      <c r="T122" s="712">
        <f>T60</f>
        <v>0.22595980686342543</v>
      </c>
      <c r="U122" s="715">
        <f>U60</f>
        <v>2.1440227962299048</v>
      </c>
      <c r="V122" s="706">
        <f>V60</f>
        <v>0.22624804071495339</v>
      </c>
      <c r="Z122" s="54">
        <f t="shared" ref="Z122:AC122" si="66">Z60</f>
        <v>0</v>
      </c>
      <c r="AA122" s="55" t="str">
        <f t="shared" si="66"/>
        <v>Set 2 24h</v>
      </c>
      <c r="AB122" s="55" t="str">
        <f t="shared" si="66"/>
        <v>nsP3</v>
      </c>
      <c r="AC122" s="56">
        <f t="shared" si="66"/>
        <v>19.470671868946397</v>
      </c>
      <c r="AD122" s="709">
        <f>AD60</f>
        <v>19.791471587394216</v>
      </c>
      <c r="AE122" s="712">
        <f>AE60</f>
        <v>0.52771698896745178</v>
      </c>
      <c r="AF122" s="715">
        <f>AF60</f>
        <v>2.4457799783339311</v>
      </c>
      <c r="AG122" s="706">
        <f>AG60</f>
        <v>0.18354681961763783</v>
      </c>
      <c r="AK122" s="54">
        <f t="shared" ref="AK122:AN122" si="67">AK60</f>
        <v>0</v>
      </c>
      <c r="AL122" s="55" t="str">
        <f t="shared" si="67"/>
        <v>Set 4 24h</v>
      </c>
      <c r="AM122" s="55" t="str">
        <f t="shared" si="67"/>
        <v>nsP3</v>
      </c>
      <c r="AN122" s="56">
        <f t="shared" si="67"/>
        <v>19.517558457877428</v>
      </c>
      <c r="AO122" s="709">
        <f>AO60</f>
        <v>19.396313687564309</v>
      </c>
      <c r="AP122" s="712">
        <f>AP60</f>
        <v>0.15855547856618202</v>
      </c>
      <c r="AQ122" s="715">
        <f>AQ60</f>
        <v>2.0766184679326614</v>
      </c>
      <c r="AR122" s="706">
        <f>AR60</f>
        <v>0.23706942787035645</v>
      </c>
      <c r="AV122" s="54">
        <f t="shared" ref="AV122:AY122" si="68">AV60</f>
        <v>0</v>
      </c>
      <c r="AW122" s="55" t="str">
        <f t="shared" si="68"/>
        <v>Set 5 24h</v>
      </c>
      <c r="AX122" s="55" t="str">
        <f t="shared" si="68"/>
        <v>nsP3</v>
      </c>
      <c r="AY122" s="56">
        <f t="shared" si="68"/>
        <v>18.605618044132733</v>
      </c>
      <c r="AZ122" s="709">
        <f>AZ60</f>
        <v>18.605618044132733</v>
      </c>
      <c r="BA122" s="712">
        <f>BA60</f>
        <v>-0.63214016486539393</v>
      </c>
      <c r="BB122" s="715">
        <f>BB60</f>
        <v>1.2859228245010854</v>
      </c>
      <c r="BC122" s="706">
        <f>BC60</f>
        <v>0.41010839334156768</v>
      </c>
      <c r="BG122" s="54">
        <f t="shared" ref="BG122:BJ122" si="69">BG60</f>
        <v>0</v>
      </c>
      <c r="BH122" s="55" t="str">
        <f t="shared" si="69"/>
        <v>GFP 24h</v>
      </c>
      <c r="BI122" s="55" t="str">
        <f t="shared" si="69"/>
        <v>nsP3</v>
      </c>
      <c r="BJ122" s="56">
        <f t="shared" si="69"/>
        <v>17.210056637713151</v>
      </c>
      <c r="BK122" s="709">
        <f>BK60</f>
        <v>17.638862079581724</v>
      </c>
      <c r="BL122" s="712">
        <f>BL60</f>
        <v>-0.93175957406356247</v>
      </c>
      <c r="BM122" s="715">
        <f>BM60</f>
        <v>0.98630341530291687</v>
      </c>
      <c r="BN122" s="706">
        <f>BN60</f>
        <v>0.50476947882741152</v>
      </c>
    </row>
    <row r="123" spans="1:66">
      <c r="A123" s="803"/>
      <c r="B123" s="803"/>
      <c r="C123" s="54">
        <f t="shared" si="52"/>
        <v>0</v>
      </c>
      <c r="D123" s="55" t="str">
        <f t="shared" si="52"/>
        <v>WT 24h</v>
      </c>
      <c r="E123" s="55" t="str">
        <f t="shared" si="52"/>
        <v>nsP3</v>
      </c>
      <c r="F123" s="56">
        <f t="shared" si="52"/>
        <v>18.819591766930031</v>
      </c>
      <c r="G123" s="709"/>
      <c r="H123" s="712"/>
      <c r="I123" s="712"/>
      <c r="J123" s="715"/>
      <c r="K123" s="706"/>
      <c r="L123" s="1"/>
      <c r="M123" s="1"/>
      <c r="N123" s="1"/>
      <c r="O123" s="54">
        <f t="shared" si="53"/>
        <v>0</v>
      </c>
      <c r="P123" s="55" t="str">
        <f t="shared" si="53"/>
        <v>Set 1 24h</v>
      </c>
      <c r="Q123" s="55" t="str">
        <f t="shared" si="53"/>
        <v>nsP3</v>
      </c>
      <c r="R123" s="56">
        <f t="shared" si="53"/>
        <v>19.699336468410358</v>
      </c>
      <c r="S123" s="709"/>
      <c r="T123" s="712"/>
      <c r="U123" s="715"/>
      <c r="V123" s="706"/>
      <c r="Z123" s="54">
        <f t="shared" ref="Z123:AC123" si="70">Z61</f>
        <v>0</v>
      </c>
      <c r="AA123" s="55" t="str">
        <f t="shared" si="70"/>
        <v>Set 2 24h</v>
      </c>
      <c r="AB123" s="55" t="str">
        <f t="shared" si="70"/>
        <v>nsP3</v>
      </c>
      <c r="AC123" s="56">
        <f t="shared" si="70"/>
        <v>19.983830177209931</v>
      </c>
      <c r="AD123" s="709"/>
      <c r="AE123" s="712"/>
      <c r="AF123" s="715"/>
      <c r="AG123" s="706"/>
      <c r="AK123" s="54">
        <f t="shared" ref="AK123:AN123" si="71">AK61</f>
        <v>0</v>
      </c>
      <c r="AL123" s="55" t="str">
        <f t="shared" si="71"/>
        <v>Set 4 24h</v>
      </c>
      <c r="AM123" s="55" t="str">
        <f t="shared" si="71"/>
        <v>nsP3</v>
      </c>
      <c r="AN123" s="56">
        <f t="shared" si="71"/>
        <v>19.226150418631413</v>
      </c>
      <c r="AO123" s="709"/>
      <c r="AP123" s="712"/>
      <c r="AQ123" s="715"/>
      <c r="AR123" s="706"/>
      <c r="AV123" s="54">
        <f t="shared" ref="AV123:AY123" si="72">AV61</f>
        <v>0</v>
      </c>
      <c r="AW123" s="55" t="str">
        <f t="shared" si="72"/>
        <v>Set 5 24h</v>
      </c>
      <c r="AX123" s="55" t="str">
        <f t="shared" si="72"/>
        <v>nsP3</v>
      </c>
      <c r="AY123" s="56">
        <f t="shared" si="72"/>
        <v>0</v>
      </c>
      <c r="AZ123" s="709"/>
      <c r="BA123" s="712"/>
      <c r="BB123" s="715"/>
      <c r="BC123" s="706"/>
      <c r="BG123" s="54">
        <f t="shared" ref="BG123:BJ123" si="73">BG61</f>
        <v>0</v>
      </c>
      <c r="BH123" s="55" t="str">
        <f t="shared" si="73"/>
        <v>GFP 24h</v>
      </c>
      <c r="BI123" s="55" t="str">
        <f t="shared" si="73"/>
        <v>nsP3</v>
      </c>
      <c r="BJ123" s="56">
        <f t="shared" si="73"/>
        <v>17.842125865132637</v>
      </c>
      <c r="BK123" s="709"/>
      <c r="BL123" s="712"/>
      <c r="BM123" s="715"/>
      <c r="BN123" s="706"/>
    </row>
    <row r="124" spans="1:66" ht="16.2" thickBot="1">
      <c r="A124" s="804"/>
      <c r="B124" s="804"/>
      <c r="C124" s="62">
        <f t="shared" si="52"/>
        <v>0</v>
      </c>
      <c r="D124" s="63" t="str">
        <f t="shared" si="52"/>
        <v>WT 24h</v>
      </c>
      <c r="E124" s="63" t="str">
        <f t="shared" si="52"/>
        <v>nsP3</v>
      </c>
      <c r="F124" s="64">
        <f t="shared" si="52"/>
        <v>0</v>
      </c>
      <c r="G124" s="725"/>
      <c r="H124" s="723"/>
      <c r="I124" s="723"/>
      <c r="J124" s="726"/>
      <c r="K124" s="727"/>
      <c r="L124" s="1"/>
      <c r="M124" s="1"/>
      <c r="N124" s="1"/>
      <c r="O124" s="62">
        <f t="shared" si="53"/>
        <v>0</v>
      </c>
      <c r="P124" s="63" t="str">
        <f t="shared" si="53"/>
        <v>Set 1 24h</v>
      </c>
      <c r="Q124" s="63" t="str">
        <f t="shared" si="53"/>
        <v>nsP3</v>
      </c>
      <c r="R124" s="64">
        <f t="shared" si="53"/>
        <v>19.803927235260872</v>
      </c>
      <c r="S124" s="725"/>
      <c r="T124" s="723"/>
      <c r="U124" s="726"/>
      <c r="V124" s="727"/>
      <c r="Z124" s="62">
        <f t="shared" ref="Z124:AC124" si="74">Z62</f>
        <v>0</v>
      </c>
      <c r="AA124" s="63" t="str">
        <f t="shared" si="74"/>
        <v>Set 2 24h</v>
      </c>
      <c r="AB124" s="63" t="str">
        <f t="shared" si="74"/>
        <v>nsP3</v>
      </c>
      <c r="AC124" s="64">
        <f t="shared" si="74"/>
        <v>19.919912716026325</v>
      </c>
      <c r="AD124" s="725"/>
      <c r="AE124" s="723"/>
      <c r="AF124" s="726"/>
      <c r="AG124" s="727"/>
      <c r="AK124" s="62">
        <f t="shared" ref="AK124:AN124" si="75">AK62</f>
        <v>0</v>
      </c>
      <c r="AL124" s="63" t="str">
        <f t="shared" si="75"/>
        <v>Set 4 24h</v>
      </c>
      <c r="AM124" s="63" t="str">
        <f t="shared" si="75"/>
        <v>nsP3</v>
      </c>
      <c r="AN124" s="64">
        <f t="shared" si="75"/>
        <v>19.445232186184086</v>
      </c>
      <c r="AO124" s="725"/>
      <c r="AP124" s="723"/>
      <c r="AQ124" s="726"/>
      <c r="AR124" s="727"/>
      <c r="AV124" s="62">
        <f t="shared" ref="AV124:AY124" si="76">AV62</f>
        <v>0</v>
      </c>
      <c r="AW124" s="63" t="str">
        <f t="shared" si="76"/>
        <v>Set 5 24h</v>
      </c>
      <c r="AX124" s="63" t="str">
        <f t="shared" si="76"/>
        <v>nsP3</v>
      </c>
      <c r="AY124" s="64">
        <f t="shared" si="76"/>
        <v>0</v>
      </c>
      <c r="AZ124" s="725"/>
      <c r="BA124" s="723"/>
      <c r="BB124" s="726"/>
      <c r="BC124" s="727"/>
      <c r="BG124" s="62">
        <f t="shared" ref="BG124:BJ124" si="77">BG62</f>
        <v>0</v>
      </c>
      <c r="BH124" s="63" t="str">
        <f t="shared" si="77"/>
        <v>GFP 24h</v>
      </c>
      <c r="BI124" s="63" t="str">
        <f t="shared" si="77"/>
        <v>nsP3</v>
      </c>
      <c r="BJ124" s="64">
        <f t="shared" si="77"/>
        <v>17.864403735899387</v>
      </c>
      <c r="BK124" s="725"/>
      <c r="BL124" s="723"/>
      <c r="BM124" s="726"/>
      <c r="BN124" s="727"/>
    </row>
    <row r="125" spans="1:66">
      <c r="A125" s="1"/>
      <c r="B125" s="1"/>
      <c r="C125" s="1"/>
      <c r="D125" s="1"/>
      <c r="E125" s="1"/>
      <c r="F125" s="1"/>
      <c r="G125" s="1"/>
      <c r="H125" s="1"/>
      <c r="I125" s="1"/>
      <c r="J125" s="1"/>
      <c r="K125" s="1"/>
      <c r="L125" s="1"/>
      <c r="M125" s="1"/>
      <c r="N125" s="1"/>
      <c r="O125" s="1"/>
      <c r="P125" s="1"/>
      <c r="Q125" s="1"/>
      <c r="R125" s="1"/>
      <c r="S125" s="1"/>
      <c r="T125" s="1"/>
      <c r="U125" s="1"/>
      <c r="V125" s="1"/>
      <c r="Z125" s="1"/>
      <c r="AA125" s="1"/>
      <c r="AB125" s="1"/>
      <c r="AC125" s="1"/>
      <c r="AD125" s="1"/>
      <c r="AE125" s="1"/>
      <c r="AF125" s="1"/>
      <c r="AG125" s="1"/>
      <c r="AK125" s="1"/>
      <c r="AL125" s="1"/>
      <c r="AM125" s="1"/>
      <c r="AN125" s="1"/>
      <c r="AO125" s="1"/>
      <c r="AP125" s="1"/>
      <c r="AQ125" s="1"/>
      <c r="AR125" s="1"/>
      <c r="AV125" s="1"/>
      <c r="AW125" s="1"/>
      <c r="AX125" s="1"/>
      <c r="AY125" s="1"/>
      <c r="AZ125" s="1"/>
      <c r="BA125" s="1"/>
      <c r="BB125" s="1"/>
      <c r="BC125" s="1"/>
      <c r="BG125" s="1"/>
      <c r="BH125" s="1"/>
      <c r="BI125" s="1"/>
      <c r="BJ125" s="1"/>
      <c r="BK125" s="1"/>
      <c r="BL125" s="1"/>
      <c r="BM125" s="1"/>
      <c r="BN125" s="1"/>
    </row>
    <row r="126" spans="1:66" ht="16.2" thickBot="1">
      <c r="A126" s="1"/>
      <c r="B126" s="1"/>
      <c r="C126" s="1"/>
      <c r="D126" s="1"/>
      <c r="E126" s="1"/>
      <c r="F126" s="1"/>
      <c r="G126" s="1"/>
      <c r="H126" s="1"/>
      <c r="I126" s="1"/>
      <c r="J126" s="1"/>
      <c r="K126" s="1"/>
      <c r="L126" s="1"/>
      <c r="M126" s="1"/>
      <c r="N126" s="1"/>
      <c r="O126" s="1"/>
      <c r="P126" s="1"/>
      <c r="Q126" s="1"/>
      <c r="R126" s="1"/>
      <c r="S126" s="1"/>
      <c r="T126" s="1"/>
      <c r="U126" s="1"/>
      <c r="V126" s="1"/>
      <c r="Z126" s="1"/>
      <c r="AA126" s="1"/>
      <c r="AB126" s="1"/>
      <c r="AC126" s="1"/>
      <c r="AD126" s="1"/>
      <c r="AE126" s="1"/>
      <c r="AF126" s="1"/>
      <c r="AG126" s="1"/>
      <c r="AK126" s="1"/>
      <c r="AL126" s="1"/>
      <c r="AM126" s="1"/>
      <c r="AN126" s="1"/>
      <c r="AO126" s="1"/>
      <c r="AP126" s="1"/>
      <c r="AQ126" s="1"/>
      <c r="AR126" s="1"/>
      <c r="AV126" s="1"/>
      <c r="AW126" s="1"/>
      <c r="AX126" s="1"/>
      <c r="AY126" s="1"/>
      <c r="AZ126" s="1"/>
      <c r="BA126" s="1"/>
      <c r="BB126" s="1"/>
      <c r="BC126" s="1"/>
      <c r="BG126" s="1"/>
      <c r="BH126" s="1"/>
      <c r="BI126" s="1"/>
      <c r="BJ126" s="1"/>
      <c r="BK126" s="1"/>
      <c r="BL126" s="1"/>
      <c r="BM126" s="1"/>
      <c r="BN126" s="1"/>
    </row>
    <row r="127" spans="1:66" ht="16.2" thickBot="1">
      <c r="A127" s="795" t="s">
        <v>11</v>
      </c>
      <c r="B127" s="795" t="str">
        <f>E63</f>
        <v>GFP</v>
      </c>
      <c r="C127" s="718" t="str">
        <f>C43</f>
        <v>WT 24h</v>
      </c>
      <c r="D127" s="719"/>
      <c r="E127" s="719"/>
      <c r="F127" s="719"/>
      <c r="G127" s="719"/>
      <c r="H127" s="719"/>
      <c r="I127" s="719"/>
      <c r="J127" s="719"/>
      <c r="K127" s="720"/>
      <c r="L127" s="1"/>
      <c r="M127" s="1"/>
      <c r="N127" s="1"/>
      <c r="O127" s="718" t="str">
        <f>O43</f>
        <v>Set 1 24h</v>
      </c>
      <c r="P127" s="719"/>
      <c r="Q127" s="719"/>
      <c r="R127" s="719"/>
      <c r="S127" s="719"/>
      <c r="T127" s="719"/>
      <c r="U127" s="719"/>
      <c r="V127" s="720"/>
      <c r="Z127" s="718" t="str">
        <f>Z43</f>
        <v>Set 2 24h</v>
      </c>
      <c r="AA127" s="719"/>
      <c r="AB127" s="719"/>
      <c r="AC127" s="719"/>
      <c r="AD127" s="719"/>
      <c r="AE127" s="719"/>
      <c r="AF127" s="719"/>
      <c r="AG127" s="720"/>
      <c r="AK127" s="718" t="str">
        <f>AK43</f>
        <v>Set 4 24h</v>
      </c>
      <c r="AL127" s="719"/>
      <c r="AM127" s="719"/>
      <c r="AN127" s="719"/>
      <c r="AO127" s="719"/>
      <c r="AP127" s="719"/>
      <c r="AQ127" s="719"/>
      <c r="AR127" s="720"/>
      <c r="AV127" s="718" t="str">
        <f>AX3</f>
        <v>Set 5 24h</v>
      </c>
      <c r="AW127" s="719"/>
      <c r="AX127" s="719"/>
      <c r="AY127" s="719"/>
      <c r="AZ127" s="719"/>
      <c r="BA127" s="719"/>
      <c r="BB127" s="719"/>
      <c r="BC127" s="720"/>
      <c r="BG127" s="718" t="str">
        <f>BI3</f>
        <v>GFP 24h</v>
      </c>
      <c r="BH127" s="719"/>
      <c r="BI127" s="719"/>
      <c r="BJ127" s="719"/>
      <c r="BK127" s="719"/>
      <c r="BL127" s="719"/>
      <c r="BM127" s="719"/>
      <c r="BN127" s="720"/>
    </row>
    <row r="128" spans="1:66" ht="16.2">
      <c r="A128" s="796"/>
      <c r="B128" s="796"/>
      <c r="C128" s="131" t="s">
        <v>0</v>
      </c>
      <c r="D128" s="132" t="s">
        <v>1</v>
      </c>
      <c r="E128" s="132" t="s">
        <v>2</v>
      </c>
      <c r="F128" s="144" t="s">
        <v>3</v>
      </c>
      <c r="G128" s="17" t="s">
        <v>4</v>
      </c>
      <c r="H128" s="9" t="s">
        <v>5</v>
      </c>
      <c r="I128" s="9" t="s">
        <v>6</v>
      </c>
      <c r="J128" s="10" t="s">
        <v>7</v>
      </c>
      <c r="K128" s="11" t="s">
        <v>8</v>
      </c>
      <c r="L128" s="1"/>
      <c r="M128" s="1"/>
      <c r="N128" s="1"/>
      <c r="O128" s="131" t="s">
        <v>0</v>
      </c>
      <c r="P128" s="132" t="s">
        <v>1</v>
      </c>
      <c r="Q128" s="132" t="s">
        <v>2</v>
      </c>
      <c r="R128" s="133" t="s">
        <v>3</v>
      </c>
      <c r="S128" s="134" t="s">
        <v>4</v>
      </c>
      <c r="T128" s="18" t="s">
        <v>5</v>
      </c>
      <c r="U128" s="10" t="s">
        <v>7</v>
      </c>
      <c r="V128" s="11" t="s">
        <v>8</v>
      </c>
      <c r="Z128" s="131" t="s">
        <v>0</v>
      </c>
      <c r="AA128" s="132" t="s">
        <v>1</v>
      </c>
      <c r="AB128" s="132" t="s">
        <v>2</v>
      </c>
      <c r="AC128" s="133" t="s">
        <v>3</v>
      </c>
      <c r="AD128" s="134" t="s">
        <v>4</v>
      </c>
      <c r="AE128" s="18" t="s">
        <v>5</v>
      </c>
      <c r="AF128" s="10" t="s">
        <v>7</v>
      </c>
      <c r="AG128" s="11" t="s">
        <v>8</v>
      </c>
      <c r="AK128" s="131" t="s">
        <v>0</v>
      </c>
      <c r="AL128" s="132" t="s">
        <v>1</v>
      </c>
      <c r="AM128" s="132" t="s">
        <v>2</v>
      </c>
      <c r="AN128" s="133" t="s">
        <v>3</v>
      </c>
      <c r="AO128" s="134" t="s">
        <v>4</v>
      </c>
      <c r="AP128" s="18" t="s">
        <v>5</v>
      </c>
      <c r="AQ128" s="10" t="s">
        <v>7</v>
      </c>
      <c r="AR128" s="11" t="s">
        <v>8</v>
      </c>
      <c r="AV128" s="131" t="s">
        <v>0</v>
      </c>
      <c r="AW128" s="132" t="s">
        <v>1</v>
      </c>
      <c r="AX128" s="132" t="s">
        <v>2</v>
      </c>
      <c r="AY128" s="133" t="s">
        <v>3</v>
      </c>
      <c r="AZ128" s="134" t="s">
        <v>4</v>
      </c>
      <c r="BA128" s="18" t="s">
        <v>5</v>
      </c>
      <c r="BB128" s="10" t="s">
        <v>7</v>
      </c>
      <c r="BC128" s="11" t="s">
        <v>8</v>
      </c>
      <c r="BG128" s="131" t="s">
        <v>0</v>
      </c>
      <c r="BH128" s="132" t="s">
        <v>1</v>
      </c>
      <c r="BI128" s="132" t="s">
        <v>2</v>
      </c>
      <c r="BJ128" s="133" t="s">
        <v>3</v>
      </c>
      <c r="BK128" s="134" t="s">
        <v>4</v>
      </c>
      <c r="BL128" s="18" t="s">
        <v>5</v>
      </c>
      <c r="BM128" s="10" t="s">
        <v>7</v>
      </c>
      <c r="BN128" s="11" t="s">
        <v>8</v>
      </c>
    </row>
    <row r="129" spans="1:66">
      <c r="A129" s="796"/>
      <c r="B129" s="796"/>
      <c r="C129" s="77">
        <f t="shared" ref="C129:K129" si="78">C63</f>
        <v>0</v>
      </c>
      <c r="D129" s="78" t="str">
        <f t="shared" si="78"/>
        <v>WT 24h</v>
      </c>
      <c r="E129" s="78" t="str">
        <f t="shared" si="78"/>
        <v>GFP</v>
      </c>
      <c r="F129" s="88">
        <f t="shared" si="78"/>
        <v>0</v>
      </c>
      <c r="G129" s="798">
        <f t="shared" si="78"/>
        <v>16.943588531954774</v>
      </c>
      <c r="H129" s="799">
        <f t="shared" si="78"/>
        <v>-3.5279844863122314</v>
      </c>
      <c r="I129" s="735">
        <f t="shared" si="78"/>
        <v>-3.4483380465492885</v>
      </c>
      <c r="J129" s="800">
        <f t="shared" si="78"/>
        <v>-7.9646439762942833E-2</v>
      </c>
      <c r="K129" s="801">
        <f t="shared" si="78"/>
        <v>1.0567590296487801</v>
      </c>
      <c r="L129" s="1"/>
      <c r="M129" s="1"/>
      <c r="N129" s="1"/>
      <c r="O129" s="77">
        <f t="shared" ref="O129:V129" si="79">O63</f>
        <v>0</v>
      </c>
      <c r="P129" s="78" t="str">
        <f t="shared" si="79"/>
        <v>Set 1 24h</v>
      </c>
      <c r="Q129" s="78" t="str">
        <f t="shared" si="79"/>
        <v>GFP</v>
      </c>
      <c r="R129" s="79">
        <f t="shared" si="79"/>
        <v>16.600800237895555</v>
      </c>
      <c r="S129" s="798">
        <f t="shared" si="79"/>
        <v>16.600800237895555</v>
      </c>
      <c r="T129" s="799">
        <f t="shared" si="79"/>
        <v>-2.9206730788170852</v>
      </c>
      <c r="U129" s="800">
        <f t="shared" si="79"/>
        <v>0.52766496773220339</v>
      </c>
      <c r="V129" s="801">
        <f t="shared" si="79"/>
        <v>0.6936765560603535</v>
      </c>
      <c r="Z129" s="77">
        <f t="shared" ref="Z129:AG129" si="80">Z63</f>
        <v>0</v>
      </c>
      <c r="AA129" s="78" t="str">
        <f t="shared" si="80"/>
        <v>Set 2 24h</v>
      </c>
      <c r="AB129" s="78" t="str">
        <f t="shared" si="80"/>
        <v>GFP</v>
      </c>
      <c r="AC129" s="79">
        <f t="shared" si="80"/>
        <v>15.922190602009032</v>
      </c>
      <c r="AD129" s="798">
        <f t="shared" si="80"/>
        <v>15.773217206084988</v>
      </c>
      <c r="AE129" s="799">
        <f t="shared" si="80"/>
        <v>-1.7563825738124752</v>
      </c>
      <c r="AF129" s="800">
        <f t="shared" si="80"/>
        <v>1.6919554727368133</v>
      </c>
      <c r="AG129" s="801">
        <f t="shared" si="80"/>
        <v>0.30950712517343493</v>
      </c>
      <c r="AK129" s="77">
        <f t="shared" ref="AK129:AR129" si="81">AK63</f>
        <v>0</v>
      </c>
      <c r="AL129" s="78" t="str">
        <f t="shared" si="81"/>
        <v>Set 4 24h</v>
      </c>
      <c r="AM129" s="78" t="str">
        <f t="shared" si="81"/>
        <v>GFP</v>
      </c>
      <c r="AN129" s="79">
        <f t="shared" si="81"/>
        <v>16.841050123001715</v>
      </c>
      <c r="AO129" s="798">
        <f t="shared" si="81"/>
        <v>17.183716511598039</v>
      </c>
      <c r="AP129" s="799">
        <f t="shared" si="81"/>
        <v>-3.1845900131909843</v>
      </c>
      <c r="AQ129" s="800">
        <f t="shared" si="81"/>
        <v>0.26374803335830421</v>
      </c>
      <c r="AR129" s="801">
        <f t="shared" si="81"/>
        <v>0.83292122784334754</v>
      </c>
      <c r="AV129" s="77">
        <f t="shared" ref="AV129:BC129" si="82">AV63</f>
        <v>0</v>
      </c>
      <c r="AW129" s="78" t="str">
        <f t="shared" si="82"/>
        <v>Set 5 24h</v>
      </c>
      <c r="AX129" s="78" t="str">
        <f t="shared" si="82"/>
        <v>GFP</v>
      </c>
      <c r="AY129" s="79">
        <f t="shared" si="82"/>
        <v>0</v>
      </c>
      <c r="AZ129" s="798">
        <f t="shared" si="82"/>
        <v>16.070528043612832</v>
      </c>
      <c r="BA129" s="799">
        <f t="shared" si="82"/>
        <v>-4.2977784811761914</v>
      </c>
      <c r="BB129" s="800">
        <f t="shared" si="82"/>
        <v>-0.84944043462690288</v>
      </c>
      <c r="BC129" s="801">
        <f t="shared" si="82"/>
        <v>1.8018019406838788</v>
      </c>
      <c r="BG129" s="77">
        <f t="shared" ref="BG129:BN129" si="83">BG63</f>
        <v>0</v>
      </c>
      <c r="BH129" s="78" t="str">
        <f t="shared" si="83"/>
        <v>GFP 24h</v>
      </c>
      <c r="BI129" s="78" t="str">
        <f t="shared" si="83"/>
        <v>GFP</v>
      </c>
      <c r="BJ129" s="79">
        <f t="shared" si="83"/>
        <v>17.881815201972984</v>
      </c>
      <c r="BK129" s="798">
        <f t="shared" si="83"/>
        <v>17.753016264764923</v>
      </c>
      <c r="BL129" s="799">
        <f t="shared" si="83"/>
        <v>-0.13912975454008247</v>
      </c>
      <c r="BM129" s="800">
        <f t="shared" si="83"/>
        <v>3.3092082920092061</v>
      </c>
      <c r="BN129" s="801">
        <f t="shared" si="83"/>
        <v>0.10088556770406254</v>
      </c>
    </row>
    <row r="130" spans="1:66">
      <c r="A130" s="796"/>
      <c r="B130" s="796"/>
      <c r="C130" s="77">
        <f t="shared" ref="C130:F131" si="84">C64</f>
        <v>0</v>
      </c>
      <c r="D130" s="78" t="str">
        <f t="shared" si="84"/>
        <v>WT 24h</v>
      </c>
      <c r="E130" s="78" t="str">
        <f t="shared" si="84"/>
        <v>GFP</v>
      </c>
      <c r="F130" s="88">
        <f t="shared" si="84"/>
        <v>16.943588531954774</v>
      </c>
      <c r="G130" s="732"/>
      <c r="H130" s="735"/>
      <c r="I130" s="735"/>
      <c r="J130" s="738"/>
      <c r="K130" s="729"/>
      <c r="L130" s="1"/>
      <c r="M130" s="1"/>
      <c r="N130" s="1"/>
      <c r="O130" s="77">
        <f t="shared" ref="O130:R131" si="85">O64</f>
        <v>0</v>
      </c>
      <c r="P130" s="78" t="str">
        <f t="shared" si="85"/>
        <v>Set 1 24h</v>
      </c>
      <c r="Q130" s="78" t="str">
        <f t="shared" si="85"/>
        <v>GFP</v>
      </c>
      <c r="R130" s="79">
        <f t="shared" si="85"/>
        <v>0</v>
      </c>
      <c r="S130" s="732"/>
      <c r="T130" s="735"/>
      <c r="U130" s="738"/>
      <c r="V130" s="729"/>
      <c r="Z130" s="77">
        <f t="shared" ref="Z130:AC131" si="86">Z64</f>
        <v>0</v>
      </c>
      <c r="AA130" s="78" t="str">
        <f t="shared" si="86"/>
        <v>Set 2 24h</v>
      </c>
      <c r="AB130" s="78" t="str">
        <f t="shared" si="86"/>
        <v>GFP</v>
      </c>
      <c r="AC130" s="79">
        <f t="shared" si="86"/>
        <v>15.811654098248056</v>
      </c>
      <c r="AD130" s="732"/>
      <c r="AE130" s="735"/>
      <c r="AF130" s="738"/>
      <c r="AG130" s="729"/>
      <c r="AK130" s="77">
        <f t="shared" ref="AK130:AN131" si="87">AK64</f>
        <v>0</v>
      </c>
      <c r="AL130" s="78" t="str">
        <f t="shared" si="87"/>
        <v>Set 4 24h</v>
      </c>
      <c r="AM130" s="78" t="str">
        <f t="shared" si="87"/>
        <v>GFP</v>
      </c>
      <c r="AN130" s="79">
        <f t="shared" si="87"/>
        <v>17.676383039030512</v>
      </c>
      <c r="AO130" s="732"/>
      <c r="AP130" s="735"/>
      <c r="AQ130" s="738"/>
      <c r="AR130" s="729"/>
      <c r="AV130" s="77">
        <f t="shared" ref="AV130:AY131" si="88">AV64</f>
        <v>0</v>
      </c>
      <c r="AW130" s="78" t="str">
        <f t="shared" si="88"/>
        <v>Set 5 24h</v>
      </c>
      <c r="AX130" s="78" t="str">
        <f t="shared" si="88"/>
        <v>GFP</v>
      </c>
      <c r="AY130" s="79">
        <f t="shared" si="88"/>
        <v>0</v>
      </c>
      <c r="AZ130" s="732"/>
      <c r="BA130" s="735"/>
      <c r="BB130" s="738"/>
      <c r="BC130" s="729"/>
      <c r="BG130" s="77">
        <f t="shared" ref="BG130:BJ131" si="89">BG64</f>
        <v>0</v>
      </c>
      <c r="BH130" s="78" t="str">
        <f t="shared" si="89"/>
        <v>GFP 24h</v>
      </c>
      <c r="BI130" s="78" t="str">
        <f t="shared" si="89"/>
        <v>GFP</v>
      </c>
      <c r="BJ130" s="79">
        <f t="shared" si="89"/>
        <v>17.88213440112483</v>
      </c>
      <c r="BK130" s="732"/>
      <c r="BL130" s="735"/>
      <c r="BM130" s="738"/>
      <c r="BN130" s="729"/>
    </row>
    <row r="131" spans="1:66">
      <c r="A131" s="796"/>
      <c r="B131" s="796"/>
      <c r="C131" s="80">
        <f t="shared" si="84"/>
        <v>0</v>
      </c>
      <c r="D131" s="81" t="str">
        <f t="shared" si="84"/>
        <v>WT 24h</v>
      </c>
      <c r="E131" s="81" t="str">
        <f t="shared" si="84"/>
        <v>GFP</v>
      </c>
      <c r="F131" s="89">
        <f t="shared" si="84"/>
        <v>0</v>
      </c>
      <c r="G131" s="733"/>
      <c r="H131" s="736"/>
      <c r="I131" s="735"/>
      <c r="J131" s="739"/>
      <c r="K131" s="730"/>
      <c r="L131" s="1"/>
      <c r="M131" s="1"/>
      <c r="N131" s="1"/>
      <c r="O131" s="80">
        <f t="shared" si="85"/>
        <v>0</v>
      </c>
      <c r="P131" s="81" t="str">
        <f t="shared" si="85"/>
        <v>Set 1 24h</v>
      </c>
      <c r="Q131" s="81" t="str">
        <f t="shared" si="85"/>
        <v>GFP</v>
      </c>
      <c r="R131" s="82">
        <f t="shared" si="85"/>
        <v>0</v>
      </c>
      <c r="S131" s="733"/>
      <c r="T131" s="736"/>
      <c r="U131" s="739"/>
      <c r="V131" s="730"/>
      <c r="Z131" s="80">
        <f t="shared" si="86"/>
        <v>0</v>
      </c>
      <c r="AA131" s="81" t="str">
        <f t="shared" si="86"/>
        <v>Set 2 24h</v>
      </c>
      <c r="AB131" s="81" t="str">
        <f t="shared" si="86"/>
        <v>GFP</v>
      </c>
      <c r="AC131" s="82">
        <f t="shared" si="86"/>
        <v>15.585806917997882</v>
      </c>
      <c r="AD131" s="733"/>
      <c r="AE131" s="736"/>
      <c r="AF131" s="739"/>
      <c r="AG131" s="730"/>
      <c r="AK131" s="80">
        <f t="shared" si="87"/>
        <v>0</v>
      </c>
      <c r="AL131" s="81" t="str">
        <f t="shared" si="87"/>
        <v>Set 4 24h</v>
      </c>
      <c r="AM131" s="81" t="str">
        <f t="shared" si="87"/>
        <v>GFP</v>
      </c>
      <c r="AN131" s="82">
        <f t="shared" si="87"/>
        <v>17.033716372761894</v>
      </c>
      <c r="AO131" s="733"/>
      <c r="AP131" s="736"/>
      <c r="AQ131" s="739"/>
      <c r="AR131" s="730"/>
      <c r="AV131" s="80">
        <f t="shared" si="88"/>
        <v>0</v>
      </c>
      <c r="AW131" s="81" t="str">
        <f t="shared" si="88"/>
        <v>Set 5 24h</v>
      </c>
      <c r="AX131" s="81" t="str">
        <f t="shared" si="88"/>
        <v>GFP</v>
      </c>
      <c r="AY131" s="82">
        <f t="shared" si="88"/>
        <v>16.070528043612832</v>
      </c>
      <c r="AZ131" s="733"/>
      <c r="BA131" s="736"/>
      <c r="BB131" s="739"/>
      <c r="BC131" s="730"/>
      <c r="BG131" s="80">
        <f t="shared" si="89"/>
        <v>0</v>
      </c>
      <c r="BH131" s="81" t="str">
        <f t="shared" si="89"/>
        <v>GFP 24h</v>
      </c>
      <c r="BI131" s="81" t="str">
        <f t="shared" si="89"/>
        <v>GFP</v>
      </c>
      <c r="BJ131" s="82">
        <f t="shared" si="89"/>
        <v>17.495099191196957</v>
      </c>
      <c r="BK131" s="733"/>
      <c r="BL131" s="736"/>
      <c r="BM131" s="739"/>
      <c r="BN131" s="730"/>
    </row>
    <row r="132" spans="1:66">
      <c r="A132" s="796"/>
      <c r="B132" s="796"/>
      <c r="C132" s="93">
        <f t="shared" ref="C132:F137" si="90">C66</f>
        <v>0</v>
      </c>
      <c r="D132" s="94" t="str">
        <f t="shared" si="90"/>
        <v>WT 24h</v>
      </c>
      <c r="E132" s="94" t="str">
        <f t="shared" si="90"/>
        <v>GFP</v>
      </c>
      <c r="F132" s="99">
        <f t="shared" si="90"/>
        <v>16.977030861222111</v>
      </c>
      <c r="G132" s="731">
        <f>G66</f>
        <v>17.116927661653545</v>
      </c>
      <c r="H132" s="734">
        <f>H66</f>
        <v>-3.5461830143788546</v>
      </c>
      <c r="I132" s="735"/>
      <c r="J132" s="737">
        <f>J66</f>
        <v>-9.7844967829566087E-2</v>
      </c>
      <c r="K132" s="740">
        <f>K66</f>
        <v>1.0701736912628501</v>
      </c>
      <c r="L132" s="1"/>
      <c r="M132" s="1"/>
      <c r="N132" s="1"/>
      <c r="O132" s="93">
        <f t="shared" ref="O132:R137" si="91">O66</f>
        <v>0</v>
      </c>
      <c r="P132" s="94" t="str">
        <f t="shared" si="91"/>
        <v>Set 1 24h</v>
      </c>
      <c r="Q132" s="94" t="str">
        <f t="shared" si="91"/>
        <v>GFP</v>
      </c>
      <c r="R132" s="95">
        <f t="shared" si="91"/>
        <v>0</v>
      </c>
      <c r="S132" s="731">
        <f>S66</f>
        <v>16.07447110011271</v>
      </c>
      <c r="T132" s="734">
        <f>T66</f>
        <v>-1.5742381548399536</v>
      </c>
      <c r="U132" s="737">
        <f>U66</f>
        <v>1.874099891709335</v>
      </c>
      <c r="V132" s="740">
        <f>V66</f>
        <v>0.27279708023362575</v>
      </c>
      <c r="Z132" s="93">
        <f t="shared" ref="Z132:AC132" si="92">Z66</f>
        <v>0</v>
      </c>
      <c r="AA132" s="94" t="str">
        <f t="shared" si="92"/>
        <v>Set 2 24h</v>
      </c>
      <c r="AB132" s="94" t="str">
        <f t="shared" si="92"/>
        <v>GFP</v>
      </c>
      <c r="AC132" s="95">
        <f t="shared" si="92"/>
        <v>16.128998746245919</v>
      </c>
      <c r="AD132" s="731">
        <f>AD66</f>
        <v>16.041095448894833</v>
      </c>
      <c r="AE132" s="734">
        <f>AE66</f>
        <v>-1.8176326061368151</v>
      </c>
      <c r="AF132" s="737">
        <f>AF66</f>
        <v>1.6307054404124735</v>
      </c>
      <c r="AG132" s="740">
        <f>AG66</f>
        <v>0.32293026453366291</v>
      </c>
      <c r="AK132" s="93">
        <f t="shared" ref="AK132:AN132" si="93">AK66</f>
        <v>0</v>
      </c>
      <c r="AL132" s="94" t="str">
        <f t="shared" si="93"/>
        <v>Set 4 24h</v>
      </c>
      <c r="AM132" s="94" t="str">
        <f t="shared" si="93"/>
        <v>GFP</v>
      </c>
      <c r="AN132" s="95">
        <f t="shared" si="93"/>
        <v>17.051925299446928</v>
      </c>
      <c r="AO132" s="731">
        <f>AO66</f>
        <v>17.080362200791274</v>
      </c>
      <c r="AP132" s="734">
        <f>AP66</f>
        <v>-3.2404826624301002</v>
      </c>
      <c r="AQ132" s="737">
        <f>AQ66</f>
        <v>0.20785538411918836</v>
      </c>
      <c r="AR132" s="740">
        <f>AR66</f>
        <v>0.86582335138058319</v>
      </c>
      <c r="AV132" s="93">
        <f t="shared" ref="AV132:AY132" si="94">AV66</f>
        <v>0</v>
      </c>
      <c r="AW132" s="94" t="str">
        <f t="shared" si="94"/>
        <v>Set 5 24h</v>
      </c>
      <c r="AX132" s="94" t="str">
        <f t="shared" si="94"/>
        <v>GFP</v>
      </c>
      <c r="AY132" s="95">
        <f t="shared" si="94"/>
        <v>17.3535680734457</v>
      </c>
      <c r="AZ132" s="731">
        <f>AZ66</f>
        <v>17.3535680734457</v>
      </c>
      <c r="BA132" s="734">
        <f>BA66</f>
        <v>-2.9672767897756742</v>
      </c>
      <c r="BB132" s="737">
        <f>BB66</f>
        <v>0.48106125677361433</v>
      </c>
      <c r="BC132" s="740">
        <f>BC66</f>
        <v>0.71645040408527227</v>
      </c>
      <c r="BG132" s="93">
        <f t="shared" ref="BG132:BJ132" si="95">BG66</f>
        <v>0</v>
      </c>
      <c r="BH132" s="94" t="str">
        <f t="shared" si="95"/>
        <v>GFP 24h</v>
      </c>
      <c r="BI132" s="94" t="str">
        <f t="shared" si="95"/>
        <v>GFP</v>
      </c>
      <c r="BJ132" s="95">
        <f t="shared" si="95"/>
        <v>17.104970039891363</v>
      </c>
      <c r="BK132" s="731">
        <f>BK66</f>
        <v>17.155893697968576</v>
      </c>
      <c r="BL132" s="734">
        <f>BL66</f>
        <v>-1.3065985039227925</v>
      </c>
      <c r="BM132" s="737">
        <f>BM66</f>
        <v>2.141739542626496</v>
      </c>
      <c r="BN132" s="740">
        <f>BN66</f>
        <v>0.22660639132566865</v>
      </c>
    </row>
    <row r="133" spans="1:66">
      <c r="A133" s="796"/>
      <c r="B133" s="796"/>
      <c r="C133" s="93">
        <f t="shared" si="90"/>
        <v>0</v>
      </c>
      <c r="D133" s="94" t="str">
        <f t="shared" si="90"/>
        <v>WT 24h</v>
      </c>
      <c r="E133" s="94" t="str">
        <f t="shared" si="90"/>
        <v>GFP</v>
      </c>
      <c r="F133" s="99">
        <f t="shared" si="90"/>
        <v>17.030315742282202</v>
      </c>
      <c r="G133" s="732"/>
      <c r="H133" s="735"/>
      <c r="I133" s="735"/>
      <c r="J133" s="738"/>
      <c r="K133" s="729"/>
      <c r="L133" s="1"/>
      <c r="M133" s="1"/>
      <c r="N133" s="1"/>
      <c r="O133" s="93">
        <f t="shared" si="91"/>
        <v>0</v>
      </c>
      <c r="P133" s="94" t="str">
        <f t="shared" si="91"/>
        <v>Set 1 24h</v>
      </c>
      <c r="Q133" s="94" t="str">
        <f t="shared" si="91"/>
        <v>GFP</v>
      </c>
      <c r="R133" s="95">
        <f t="shared" si="91"/>
        <v>0</v>
      </c>
      <c r="S133" s="732"/>
      <c r="T133" s="735"/>
      <c r="U133" s="738"/>
      <c r="V133" s="729"/>
      <c r="Z133" s="93">
        <f t="shared" ref="Z133:AC133" si="96">Z67</f>
        <v>0</v>
      </c>
      <c r="AA133" s="94" t="str">
        <f t="shared" si="96"/>
        <v>Set 2 24h</v>
      </c>
      <c r="AB133" s="94" t="str">
        <f t="shared" si="96"/>
        <v>GFP</v>
      </c>
      <c r="AC133" s="95">
        <f t="shared" si="96"/>
        <v>16.086531621692252</v>
      </c>
      <c r="AD133" s="732"/>
      <c r="AE133" s="735"/>
      <c r="AF133" s="738"/>
      <c r="AG133" s="729"/>
      <c r="AK133" s="93">
        <f t="shared" ref="AK133:AN133" si="97">AK67</f>
        <v>0</v>
      </c>
      <c r="AL133" s="94" t="str">
        <f t="shared" si="97"/>
        <v>Set 4 24h</v>
      </c>
      <c r="AM133" s="94" t="str">
        <f t="shared" si="97"/>
        <v>GFP</v>
      </c>
      <c r="AN133" s="95">
        <f t="shared" si="97"/>
        <v>17.062129929325359</v>
      </c>
      <c r="AO133" s="732"/>
      <c r="AP133" s="735"/>
      <c r="AQ133" s="738"/>
      <c r="AR133" s="729"/>
      <c r="AV133" s="93">
        <f t="shared" ref="AV133:AY133" si="98">AV67</f>
        <v>0</v>
      </c>
      <c r="AW133" s="94" t="str">
        <f t="shared" si="98"/>
        <v>Set 5 24h</v>
      </c>
      <c r="AX133" s="94" t="str">
        <f t="shared" si="98"/>
        <v>GFP</v>
      </c>
      <c r="AY133" s="95">
        <f t="shared" si="98"/>
        <v>0</v>
      </c>
      <c r="AZ133" s="732"/>
      <c r="BA133" s="735"/>
      <c r="BB133" s="738"/>
      <c r="BC133" s="729"/>
      <c r="BG133" s="93">
        <f t="shared" ref="BG133:BJ133" si="99">BG67</f>
        <v>0</v>
      </c>
      <c r="BH133" s="94" t="str">
        <f t="shared" si="99"/>
        <v>GFP 24h</v>
      </c>
      <c r="BI133" s="94" t="str">
        <f t="shared" si="99"/>
        <v>GFP</v>
      </c>
      <c r="BJ133" s="95">
        <f t="shared" si="99"/>
        <v>17.341916412946269</v>
      </c>
      <c r="BK133" s="732"/>
      <c r="BL133" s="735"/>
      <c r="BM133" s="738"/>
      <c r="BN133" s="729"/>
    </row>
    <row r="134" spans="1:66">
      <c r="A134" s="796"/>
      <c r="B134" s="796"/>
      <c r="C134" s="96">
        <f t="shared" si="90"/>
        <v>0</v>
      </c>
      <c r="D134" s="97" t="str">
        <f t="shared" si="90"/>
        <v>WT 24h</v>
      </c>
      <c r="E134" s="97" t="str">
        <f t="shared" si="90"/>
        <v>GFP</v>
      </c>
      <c r="F134" s="100">
        <f t="shared" si="90"/>
        <v>17.343436381456314</v>
      </c>
      <c r="G134" s="733"/>
      <c r="H134" s="736"/>
      <c r="I134" s="735"/>
      <c r="J134" s="739"/>
      <c r="K134" s="730"/>
      <c r="L134" s="1"/>
      <c r="M134" s="1"/>
      <c r="N134" s="1"/>
      <c r="O134" s="96">
        <f t="shared" si="91"/>
        <v>0</v>
      </c>
      <c r="P134" s="97" t="str">
        <f t="shared" si="91"/>
        <v>Set 1 24h</v>
      </c>
      <c r="Q134" s="97" t="str">
        <f t="shared" si="91"/>
        <v>GFP</v>
      </c>
      <c r="R134" s="98">
        <f t="shared" si="91"/>
        <v>16.07447110011271</v>
      </c>
      <c r="S134" s="733"/>
      <c r="T134" s="736"/>
      <c r="U134" s="739"/>
      <c r="V134" s="730"/>
      <c r="Z134" s="96">
        <f t="shared" ref="Z134:AC134" si="100">Z68</f>
        <v>0</v>
      </c>
      <c r="AA134" s="97" t="str">
        <f t="shared" si="100"/>
        <v>Set 2 24h</v>
      </c>
      <c r="AB134" s="97" t="str">
        <f t="shared" si="100"/>
        <v>GFP</v>
      </c>
      <c r="AC134" s="98">
        <f t="shared" si="100"/>
        <v>15.907755978746323</v>
      </c>
      <c r="AD134" s="733"/>
      <c r="AE134" s="736"/>
      <c r="AF134" s="739"/>
      <c r="AG134" s="730"/>
      <c r="AK134" s="96">
        <f t="shared" ref="AK134:AN134" si="101">AK68</f>
        <v>0</v>
      </c>
      <c r="AL134" s="97" t="str">
        <f t="shared" si="101"/>
        <v>Set 4 24h</v>
      </c>
      <c r="AM134" s="97" t="str">
        <f t="shared" si="101"/>
        <v>GFP</v>
      </c>
      <c r="AN134" s="98">
        <f t="shared" si="101"/>
        <v>17.127031373601532</v>
      </c>
      <c r="AO134" s="733"/>
      <c r="AP134" s="736"/>
      <c r="AQ134" s="739"/>
      <c r="AR134" s="730"/>
      <c r="AV134" s="96">
        <f t="shared" ref="AV134:AY134" si="102">AV68</f>
        <v>0</v>
      </c>
      <c r="AW134" s="97" t="str">
        <f t="shared" si="102"/>
        <v>Set 5 24h</v>
      </c>
      <c r="AX134" s="97" t="str">
        <f t="shared" si="102"/>
        <v>GFP</v>
      </c>
      <c r="AY134" s="98">
        <f t="shared" si="102"/>
        <v>0</v>
      </c>
      <c r="AZ134" s="733"/>
      <c r="BA134" s="736"/>
      <c r="BB134" s="739"/>
      <c r="BC134" s="730"/>
      <c r="BG134" s="96">
        <f t="shared" ref="BG134:BJ134" si="103">BG68</f>
        <v>0</v>
      </c>
      <c r="BH134" s="97" t="str">
        <f t="shared" si="103"/>
        <v>GFP 24h</v>
      </c>
      <c r="BI134" s="97" t="str">
        <f t="shared" si="103"/>
        <v>GFP</v>
      </c>
      <c r="BJ134" s="98">
        <f t="shared" si="103"/>
        <v>17.020794641068093</v>
      </c>
      <c r="BK134" s="733"/>
      <c r="BL134" s="736"/>
      <c r="BM134" s="739"/>
      <c r="BN134" s="730"/>
    </row>
    <row r="135" spans="1:66">
      <c r="A135" s="796"/>
      <c r="B135" s="796"/>
      <c r="C135" s="77">
        <f t="shared" si="90"/>
        <v>0</v>
      </c>
      <c r="D135" s="78" t="str">
        <f t="shared" si="90"/>
        <v>WT 24h</v>
      </c>
      <c r="E135" s="78" t="str">
        <f t="shared" si="90"/>
        <v>GFP</v>
      </c>
      <c r="F135" s="88">
        <f t="shared" si="90"/>
        <v>17.335388159856862</v>
      </c>
      <c r="G135" s="732">
        <f>G69</f>
        <v>17.335388159856862</v>
      </c>
      <c r="H135" s="734">
        <f>H69</f>
        <v>-3.2708466389567796</v>
      </c>
      <c r="I135" s="735"/>
      <c r="J135" s="738">
        <f>J69</f>
        <v>0.17749140759250892</v>
      </c>
      <c r="K135" s="729">
        <f>K69</f>
        <v>0.88423919643229809</v>
      </c>
      <c r="L135" s="1"/>
      <c r="M135" s="1"/>
      <c r="N135" s="1"/>
      <c r="O135" s="77">
        <f t="shared" si="91"/>
        <v>0</v>
      </c>
      <c r="P135" s="78" t="str">
        <f t="shared" si="91"/>
        <v>Set 1 24h</v>
      </c>
      <c r="Q135" s="78" t="str">
        <f t="shared" si="91"/>
        <v>GFP</v>
      </c>
      <c r="R135" s="79">
        <f t="shared" si="91"/>
        <v>0</v>
      </c>
      <c r="S135" s="732">
        <f>S69</f>
        <v>17.143926897862556</v>
      </c>
      <c r="T135" s="734">
        <f>T69</f>
        <v>-2.0978902657535663</v>
      </c>
      <c r="U135" s="738">
        <f>U69</f>
        <v>1.3504477807957223</v>
      </c>
      <c r="V135" s="729">
        <f>V69</f>
        <v>0.39217030902202554</v>
      </c>
      <c r="Z135" s="77">
        <f t="shared" ref="Z135:AC135" si="104">Z69</f>
        <v>0</v>
      </c>
      <c r="AA135" s="78" t="str">
        <f t="shared" si="104"/>
        <v>Set 2 24h</v>
      </c>
      <c r="AB135" s="78" t="str">
        <f t="shared" si="104"/>
        <v>GFP</v>
      </c>
      <c r="AC135" s="79">
        <f t="shared" si="104"/>
        <v>17.518759251853076</v>
      </c>
      <c r="AD135" s="732">
        <f>AD69</f>
        <v>17.51146441952395</v>
      </c>
      <c r="AE135" s="734">
        <f>AE69</f>
        <v>-1.7522901789028147</v>
      </c>
      <c r="AF135" s="738">
        <f>AF69</f>
        <v>1.6960478676464739</v>
      </c>
      <c r="AG135" s="729">
        <f>AG69</f>
        <v>0.30863041140502617</v>
      </c>
      <c r="AK135" s="77">
        <f t="shared" ref="AK135:AN135" si="105">AK69</f>
        <v>0</v>
      </c>
      <c r="AL135" s="78" t="str">
        <f t="shared" si="105"/>
        <v>Set 4 24h</v>
      </c>
      <c r="AM135" s="78" t="str">
        <f t="shared" si="105"/>
        <v>GFP</v>
      </c>
      <c r="AN135" s="79">
        <f t="shared" si="105"/>
        <v>16.316158228269089</v>
      </c>
      <c r="AO135" s="732">
        <f>AO69</f>
        <v>16.183706564387236</v>
      </c>
      <c r="AP135" s="734">
        <f>AP69</f>
        <v>-3.0540516446108903</v>
      </c>
      <c r="AQ135" s="738">
        <f>AQ69</f>
        <v>0.39428640193839826</v>
      </c>
      <c r="AR135" s="729">
        <f>AR69</f>
        <v>0.76086562937329794</v>
      </c>
      <c r="AV135" s="77">
        <f t="shared" ref="AV135:AY135" si="106">AV69</f>
        <v>0</v>
      </c>
      <c r="AW135" s="78" t="str">
        <f t="shared" si="106"/>
        <v>Set 5 24h</v>
      </c>
      <c r="AX135" s="78" t="str">
        <f t="shared" si="106"/>
        <v>GFP</v>
      </c>
      <c r="AY135" s="79">
        <f t="shared" si="106"/>
        <v>0</v>
      </c>
      <c r="AZ135" s="732">
        <f>AZ69</f>
        <v>16.596312043410322</v>
      </c>
      <c r="BA135" s="734">
        <f>BA69</f>
        <v>-2.641446165587805</v>
      </c>
      <c r="BB135" s="738">
        <f>BB69</f>
        <v>0.80689188096148357</v>
      </c>
      <c r="BC135" s="729">
        <f>BC69</f>
        <v>0.57161200408115909</v>
      </c>
      <c r="BG135" s="77">
        <f t="shared" ref="BG135:BJ135" si="107">BG69</f>
        <v>0</v>
      </c>
      <c r="BH135" s="78" t="str">
        <f t="shared" si="107"/>
        <v>GFP 24h</v>
      </c>
      <c r="BI135" s="78" t="str">
        <f t="shared" si="107"/>
        <v>GFP</v>
      </c>
      <c r="BJ135" s="79">
        <f t="shared" si="107"/>
        <v>17.680240096215869</v>
      </c>
      <c r="BK135" s="732">
        <f>BK69</f>
        <v>17.653168923147188</v>
      </c>
      <c r="BL135" s="734">
        <f>BL69</f>
        <v>-0.91745273049809839</v>
      </c>
      <c r="BM135" s="738">
        <f>BM69</f>
        <v>2.5308853160511902</v>
      </c>
      <c r="BN135" s="729">
        <f>BN69</f>
        <v>0.17303246880483028</v>
      </c>
    </row>
    <row r="136" spans="1:66">
      <c r="A136" s="796"/>
      <c r="B136" s="796"/>
      <c r="C136" s="77">
        <f t="shared" si="90"/>
        <v>0</v>
      </c>
      <c r="D136" s="78" t="str">
        <f t="shared" si="90"/>
        <v>WT 24h</v>
      </c>
      <c r="E136" s="78" t="str">
        <f t="shared" si="90"/>
        <v>GFP</v>
      </c>
      <c r="F136" s="88">
        <f t="shared" si="90"/>
        <v>0</v>
      </c>
      <c r="G136" s="732"/>
      <c r="H136" s="735"/>
      <c r="I136" s="735"/>
      <c r="J136" s="738"/>
      <c r="K136" s="729"/>
      <c r="L136" s="1"/>
      <c r="M136" s="1"/>
      <c r="N136" s="1"/>
      <c r="O136" s="77">
        <f t="shared" si="91"/>
        <v>0</v>
      </c>
      <c r="P136" s="78" t="str">
        <f t="shared" si="91"/>
        <v>Set 1 24h</v>
      </c>
      <c r="Q136" s="78" t="str">
        <f t="shared" si="91"/>
        <v>GFP</v>
      </c>
      <c r="R136" s="79">
        <f t="shared" si="91"/>
        <v>17.143926897862556</v>
      </c>
      <c r="S136" s="732"/>
      <c r="T136" s="735"/>
      <c r="U136" s="738"/>
      <c r="V136" s="729"/>
      <c r="Z136" s="77">
        <f t="shared" ref="Z136:AC136" si="108">Z70</f>
        <v>0</v>
      </c>
      <c r="AA136" s="78" t="str">
        <f t="shared" si="108"/>
        <v>Set 2 24h</v>
      </c>
      <c r="AB136" s="78" t="str">
        <f t="shared" si="108"/>
        <v>GFP</v>
      </c>
      <c r="AC136" s="79">
        <f t="shared" si="108"/>
        <v>17.499383846288985</v>
      </c>
      <c r="AD136" s="732"/>
      <c r="AE136" s="735"/>
      <c r="AF136" s="738"/>
      <c r="AG136" s="729"/>
      <c r="AK136" s="77">
        <f t="shared" ref="AK136:AN136" si="109">AK70</f>
        <v>0</v>
      </c>
      <c r="AL136" s="78" t="str">
        <f t="shared" si="109"/>
        <v>Set 4 24h</v>
      </c>
      <c r="AM136" s="78" t="str">
        <f t="shared" si="109"/>
        <v>GFP</v>
      </c>
      <c r="AN136" s="79">
        <f t="shared" si="109"/>
        <v>16.177652586889238</v>
      </c>
      <c r="AO136" s="732"/>
      <c r="AP136" s="735"/>
      <c r="AQ136" s="738"/>
      <c r="AR136" s="729"/>
      <c r="AV136" s="77">
        <f t="shared" ref="AV136:AY136" si="110">AV70</f>
        <v>0</v>
      </c>
      <c r="AW136" s="78" t="str">
        <f t="shared" si="110"/>
        <v>Set 5 24h</v>
      </c>
      <c r="AX136" s="78" t="str">
        <f t="shared" si="110"/>
        <v>GFP</v>
      </c>
      <c r="AY136" s="79">
        <f t="shared" si="110"/>
        <v>0</v>
      </c>
      <c r="AZ136" s="732"/>
      <c r="BA136" s="735"/>
      <c r="BB136" s="738"/>
      <c r="BC136" s="729"/>
      <c r="BG136" s="77">
        <f t="shared" ref="BG136:BJ136" si="111">BG70</f>
        <v>0</v>
      </c>
      <c r="BH136" s="78" t="str">
        <f t="shared" si="111"/>
        <v>GFP 24h</v>
      </c>
      <c r="BI136" s="78" t="str">
        <f t="shared" si="111"/>
        <v>GFP</v>
      </c>
      <c r="BJ136" s="79">
        <f t="shared" si="111"/>
        <v>17.747487235267052</v>
      </c>
      <c r="BK136" s="732"/>
      <c r="BL136" s="735"/>
      <c r="BM136" s="738"/>
      <c r="BN136" s="729"/>
    </row>
    <row r="137" spans="1:66" ht="16.2" thickBot="1">
      <c r="A137" s="797"/>
      <c r="B137" s="797"/>
      <c r="C137" s="85">
        <f t="shared" si="90"/>
        <v>0</v>
      </c>
      <c r="D137" s="86" t="str">
        <f t="shared" si="90"/>
        <v>WT 24h</v>
      </c>
      <c r="E137" s="86" t="str">
        <f t="shared" si="90"/>
        <v>GFP</v>
      </c>
      <c r="F137" s="90">
        <f t="shared" si="90"/>
        <v>0</v>
      </c>
      <c r="G137" s="745"/>
      <c r="H137" s="743"/>
      <c r="I137" s="743"/>
      <c r="J137" s="746"/>
      <c r="K137" s="747"/>
      <c r="L137" s="1"/>
      <c r="M137" s="1"/>
      <c r="N137" s="1"/>
      <c r="O137" s="85">
        <f t="shared" si="91"/>
        <v>0</v>
      </c>
      <c r="P137" s="86" t="str">
        <f t="shared" si="91"/>
        <v>Set 1 24h</v>
      </c>
      <c r="Q137" s="86" t="str">
        <f t="shared" si="91"/>
        <v>GFP</v>
      </c>
      <c r="R137" s="87">
        <f t="shared" si="91"/>
        <v>0</v>
      </c>
      <c r="S137" s="745"/>
      <c r="T137" s="743"/>
      <c r="U137" s="746"/>
      <c r="V137" s="747"/>
      <c r="Z137" s="85">
        <f t="shared" ref="Z137:AC137" si="112">Z71</f>
        <v>0</v>
      </c>
      <c r="AA137" s="86" t="str">
        <f t="shared" si="112"/>
        <v>Set 2 24h</v>
      </c>
      <c r="AB137" s="86" t="str">
        <f t="shared" si="112"/>
        <v>GFP</v>
      </c>
      <c r="AC137" s="87">
        <f t="shared" si="112"/>
        <v>17.516250160429792</v>
      </c>
      <c r="AD137" s="745"/>
      <c r="AE137" s="743"/>
      <c r="AF137" s="746"/>
      <c r="AG137" s="747"/>
      <c r="AK137" s="85">
        <f t="shared" ref="AK137:AN137" si="113">AK71</f>
        <v>0</v>
      </c>
      <c r="AL137" s="86" t="str">
        <f t="shared" si="113"/>
        <v>Set 4 24h</v>
      </c>
      <c r="AM137" s="86" t="str">
        <f t="shared" si="113"/>
        <v>GFP</v>
      </c>
      <c r="AN137" s="87">
        <f t="shared" si="113"/>
        <v>16.057308878003383</v>
      </c>
      <c r="AO137" s="745"/>
      <c r="AP137" s="743"/>
      <c r="AQ137" s="746"/>
      <c r="AR137" s="747"/>
      <c r="AV137" s="85">
        <f t="shared" ref="AV137:AY137" si="114">AV71</f>
        <v>0</v>
      </c>
      <c r="AW137" s="86" t="str">
        <f t="shared" si="114"/>
        <v>Set 5 24h</v>
      </c>
      <c r="AX137" s="86" t="str">
        <f t="shared" si="114"/>
        <v>GFP</v>
      </c>
      <c r="AY137" s="87">
        <f t="shared" si="114"/>
        <v>16.596312043410322</v>
      </c>
      <c r="AZ137" s="745"/>
      <c r="BA137" s="743"/>
      <c r="BB137" s="746"/>
      <c r="BC137" s="747"/>
      <c r="BG137" s="85">
        <f t="shared" ref="BG137:BJ137" si="115">BG71</f>
        <v>0</v>
      </c>
      <c r="BH137" s="86" t="str">
        <f t="shared" si="115"/>
        <v>GFP 24h</v>
      </c>
      <c r="BI137" s="86" t="str">
        <f t="shared" si="115"/>
        <v>GFP</v>
      </c>
      <c r="BJ137" s="87">
        <f t="shared" si="115"/>
        <v>17.531779437958647</v>
      </c>
      <c r="BK137" s="745"/>
      <c r="BL137" s="743"/>
      <c r="BM137" s="746"/>
      <c r="BN137" s="747"/>
    </row>
    <row r="139" spans="1:66" ht="16.2" thickBot="1"/>
    <row r="140" spans="1:66" ht="16.2" thickBot="1">
      <c r="A140" s="816" t="s">
        <v>12</v>
      </c>
      <c r="B140" s="816" t="str">
        <f>E72</f>
        <v>RIG1</v>
      </c>
      <c r="C140" s="826" t="str">
        <f>C43</f>
        <v>WT 24h</v>
      </c>
      <c r="D140" s="827"/>
      <c r="E140" s="827"/>
      <c r="F140" s="827"/>
      <c r="G140" s="827"/>
      <c r="H140" s="827"/>
      <c r="I140" s="827"/>
      <c r="J140" s="827"/>
      <c r="K140" s="828"/>
      <c r="L140" s="427"/>
      <c r="M140" s="427"/>
      <c r="N140" s="427"/>
      <c r="O140" s="826" t="str">
        <f>O43</f>
        <v>Set 1 24h</v>
      </c>
      <c r="P140" s="827"/>
      <c r="Q140" s="827"/>
      <c r="R140" s="827"/>
      <c r="S140" s="827"/>
      <c r="T140" s="827"/>
      <c r="U140" s="827"/>
      <c r="V140" s="828"/>
      <c r="W140" s="428"/>
      <c r="X140" s="428"/>
      <c r="Y140" s="428"/>
      <c r="Z140" s="826" t="str">
        <f>Z43</f>
        <v>Set 2 24h</v>
      </c>
      <c r="AA140" s="827"/>
      <c r="AB140" s="827"/>
      <c r="AC140" s="827"/>
      <c r="AD140" s="827"/>
      <c r="AE140" s="827"/>
      <c r="AF140" s="827"/>
      <c r="AG140" s="828"/>
      <c r="AH140" s="428"/>
      <c r="AI140" s="428"/>
      <c r="AJ140" s="428"/>
      <c r="AK140" s="826" t="str">
        <f>AK43</f>
        <v>Set 4 24h</v>
      </c>
      <c r="AL140" s="827"/>
      <c r="AM140" s="827"/>
      <c r="AN140" s="827"/>
      <c r="AO140" s="827"/>
      <c r="AP140" s="827"/>
      <c r="AQ140" s="827"/>
      <c r="AR140" s="828"/>
      <c r="AS140" s="428"/>
      <c r="AT140" s="428"/>
      <c r="AU140" s="428"/>
      <c r="AV140" s="826" t="str">
        <f>AX3</f>
        <v>Set 5 24h</v>
      </c>
      <c r="AW140" s="827"/>
      <c r="AX140" s="827"/>
      <c r="AY140" s="827"/>
      <c r="AZ140" s="827"/>
      <c r="BA140" s="827"/>
      <c r="BB140" s="827"/>
      <c r="BC140" s="828"/>
      <c r="BD140" s="428"/>
      <c r="BE140" s="428"/>
      <c r="BF140" s="428"/>
      <c r="BG140" s="826" t="str">
        <f>BI3</f>
        <v>GFP 24h</v>
      </c>
      <c r="BH140" s="827"/>
      <c r="BI140" s="827"/>
      <c r="BJ140" s="827"/>
      <c r="BK140" s="827"/>
      <c r="BL140" s="827"/>
      <c r="BM140" s="827"/>
      <c r="BN140" s="828"/>
    </row>
    <row r="141" spans="1:66" ht="16.8" thickBot="1">
      <c r="A141" s="817"/>
      <c r="B141" s="817"/>
      <c r="C141" s="465" t="s">
        <v>0</v>
      </c>
      <c r="D141" s="466" t="s">
        <v>1</v>
      </c>
      <c r="E141" s="466" t="s">
        <v>2</v>
      </c>
      <c r="F141" s="467" t="s">
        <v>3</v>
      </c>
      <c r="G141" s="468" t="s">
        <v>4</v>
      </c>
      <c r="H141" s="469" t="s">
        <v>5</v>
      </c>
      <c r="I141" s="469" t="s">
        <v>6</v>
      </c>
      <c r="J141" s="470" t="s">
        <v>7</v>
      </c>
      <c r="K141" s="471" t="s">
        <v>26</v>
      </c>
      <c r="L141" s="427"/>
      <c r="M141" s="427"/>
      <c r="N141" s="427"/>
      <c r="O141" s="465" t="s">
        <v>0</v>
      </c>
      <c r="P141" s="466" t="s">
        <v>1</v>
      </c>
      <c r="Q141" s="466" t="s">
        <v>2</v>
      </c>
      <c r="R141" s="472" t="s">
        <v>3</v>
      </c>
      <c r="S141" s="473" t="s">
        <v>4</v>
      </c>
      <c r="T141" s="474" t="s">
        <v>5</v>
      </c>
      <c r="U141" s="470" t="s">
        <v>7</v>
      </c>
      <c r="V141" s="471" t="s">
        <v>26</v>
      </c>
      <c r="W141" s="428"/>
      <c r="X141" s="428"/>
      <c r="Y141" s="428"/>
      <c r="Z141" s="465" t="s">
        <v>0</v>
      </c>
      <c r="AA141" s="466" t="s">
        <v>1</v>
      </c>
      <c r="AB141" s="466" t="s">
        <v>2</v>
      </c>
      <c r="AC141" s="472" t="s">
        <v>3</v>
      </c>
      <c r="AD141" s="473" t="s">
        <v>4</v>
      </c>
      <c r="AE141" s="474" t="s">
        <v>5</v>
      </c>
      <c r="AF141" s="470" t="s">
        <v>7</v>
      </c>
      <c r="AG141" s="471" t="s">
        <v>26</v>
      </c>
      <c r="AH141" s="428"/>
      <c r="AI141" s="428"/>
      <c r="AJ141" s="428"/>
      <c r="AK141" s="465" t="s">
        <v>0</v>
      </c>
      <c r="AL141" s="466" t="s">
        <v>1</v>
      </c>
      <c r="AM141" s="466" t="s">
        <v>2</v>
      </c>
      <c r="AN141" s="472" t="s">
        <v>3</v>
      </c>
      <c r="AO141" s="473" t="s">
        <v>4</v>
      </c>
      <c r="AP141" s="474" t="s">
        <v>5</v>
      </c>
      <c r="AQ141" s="470" t="s">
        <v>7</v>
      </c>
      <c r="AR141" s="471" t="s">
        <v>26</v>
      </c>
      <c r="AS141" s="428"/>
      <c r="AT141" s="428"/>
      <c r="AU141" s="428"/>
      <c r="AV141" s="465" t="s">
        <v>0</v>
      </c>
      <c r="AW141" s="466" t="s">
        <v>1</v>
      </c>
      <c r="AX141" s="466" t="s">
        <v>2</v>
      </c>
      <c r="AY141" s="472" t="s">
        <v>3</v>
      </c>
      <c r="AZ141" s="473" t="s">
        <v>4</v>
      </c>
      <c r="BA141" s="474" t="s">
        <v>5</v>
      </c>
      <c r="BB141" s="470" t="s">
        <v>7</v>
      </c>
      <c r="BC141" s="471" t="s">
        <v>26</v>
      </c>
      <c r="BD141" s="428"/>
      <c r="BE141" s="428"/>
      <c r="BF141" s="428"/>
      <c r="BG141" s="465" t="s">
        <v>0</v>
      </c>
      <c r="BH141" s="466" t="s">
        <v>1</v>
      </c>
      <c r="BI141" s="466" t="s">
        <v>2</v>
      </c>
      <c r="BJ141" s="472" t="s">
        <v>3</v>
      </c>
      <c r="BK141" s="473" t="s">
        <v>4</v>
      </c>
      <c r="BL141" s="474" t="s">
        <v>5</v>
      </c>
      <c r="BM141" s="470" t="s">
        <v>7</v>
      </c>
      <c r="BN141" s="471" t="s">
        <v>26</v>
      </c>
    </row>
    <row r="142" spans="1:66">
      <c r="A142" s="817"/>
      <c r="B142" s="817"/>
      <c r="C142" s="429">
        <f t="shared" ref="C142:K142" si="116">C72</f>
        <v>0</v>
      </c>
      <c r="D142" s="430" t="str">
        <f t="shared" si="116"/>
        <v>WT 24h</v>
      </c>
      <c r="E142" s="430" t="str">
        <f t="shared" si="116"/>
        <v>RIG1</v>
      </c>
      <c r="F142" s="475">
        <f t="shared" si="116"/>
        <v>23.476036525142462</v>
      </c>
      <c r="G142" s="769">
        <f t="shared" si="116"/>
        <v>23.163157790588798</v>
      </c>
      <c r="H142" s="770">
        <f t="shared" si="116"/>
        <v>2.6915847723217929</v>
      </c>
      <c r="I142" s="770">
        <f t="shared" si="116"/>
        <v>2.6314181872532707</v>
      </c>
      <c r="J142" s="771">
        <f t="shared" si="116"/>
        <v>6.0166585068522238E-2</v>
      </c>
      <c r="K142" s="748">
        <f t="shared" si="116"/>
        <v>0.95915336143878294</v>
      </c>
      <c r="L142" s="427"/>
      <c r="M142" s="427"/>
      <c r="N142" s="427"/>
      <c r="O142" s="429">
        <f t="shared" ref="O142:V142" si="117">O72</f>
        <v>0</v>
      </c>
      <c r="P142" s="430" t="str">
        <f t="shared" si="117"/>
        <v>Set 1 24h</v>
      </c>
      <c r="Q142" s="430" t="str">
        <f t="shared" si="117"/>
        <v>RIG1</v>
      </c>
      <c r="R142" s="431">
        <f t="shared" si="117"/>
        <v>24.460534186027552</v>
      </c>
      <c r="S142" s="769">
        <f t="shared" si="117"/>
        <v>24.687105580803859</v>
      </c>
      <c r="T142" s="770">
        <f t="shared" si="117"/>
        <v>5.1656322640912187</v>
      </c>
      <c r="U142" s="771">
        <f t="shared" si="117"/>
        <v>2.534214076837948</v>
      </c>
      <c r="V142" s="748">
        <f t="shared" si="117"/>
        <v>0.17263368756432385</v>
      </c>
      <c r="W142" s="428"/>
      <c r="X142" s="428"/>
      <c r="Y142" s="428"/>
      <c r="Z142" s="429">
        <f t="shared" ref="Z142:AG142" si="118">Z72</f>
        <v>0</v>
      </c>
      <c r="AA142" s="430" t="str">
        <f t="shared" si="118"/>
        <v>Set 2 24h</v>
      </c>
      <c r="AB142" s="430" t="str">
        <f t="shared" si="118"/>
        <v>RIG1</v>
      </c>
      <c r="AC142" s="431">
        <f t="shared" si="118"/>
        <v>22.166063226707706</v>
      </c>
      <c r="AD142" s="769">
        <f t="shared" si="118"/>
        <v>22.456961884407246</v>
      </c>
      <c r="AE142" s="770">
        <f t="shared" si="118"/>
        <v>4.9273621045097826</v>
      </c>
      <c r="AF142" s="771">
        <f t="shared" si="118"/>
        <v>2.2959439172565119</v>
      </c>
      <c r="AG142" s="748">
        <f t="shared" si="118"/>
        <v>0.203634806630802</v>
      </c>
      <c r="AH142" s="428"/>
      <c r="AI142" s="428"/>
      <c r="AJ142" s="428"/>
      <c r="AK142" s="429">
        <f t="shared" ref="AK142:AR142" si="119">AK72</f>
        <v>0</v>
      </c>
      <c r="AL142" s="430" t="str">
        <f t="shared" si="119"/>
        <v>Set 4 24h</v>
      </c>
      <c r="AM142" s="430" t="str">
        <f t="shared" si="119"/>
        <v>RIG1</v>
      </c>
      <c r="AN142" s="431">
        <f t="shared" si="119"/>
        <v>25.472785937890357</v>
      </c>
      <c r="AO142" s="769">
        <f t="shared" si="119"/>
        <v>25.678378367940315</v>
      </c>
      <c r="AP142" s="770">
        <f t="shared" si="119"/>
        <v>5.3100718431512917</v>
      </c>
      <c r="AQ142" s="771">
        <f t="shared" si="119"/>
        <v>2.678653655898021</v>
      </c>
      <c r="AR142" s="748">
        <f t="shared" si="119"/>
        <v>0.15618700662081381</v>
      </c>
      <c r="AS142" s="428"/>
      <c r="AT142" s="428"/>
      <c r="AU142" s="428"/>
      <c r="AV142" s="429">
        <f t="shared" ref="AV142:BC142" si="120">AV72</f>
        <v>0</v>
      </c>
      <c r="AW142" s="430" t="str">
        <f t="shared" si="120"/>
        <v>Set 5 24h</v>
      </c>
      <c r="AX142" s="430" t="str">
        <f t="shared" si="120"/>
        <v>RIG1</v>
      </c>
      <c r="AY142" s="431">
        <f t="shared" si="120"/>
        <v>0</v>
      </c>
      <c r="AZ142" s="769">
        <f t="shared" si="120"/>
        <v>23.872663503788537</v>
      </c>
      <c r="BA142" s="770">
        <f t="shared" si="120"/>
        <v>3.5043569789995139</v>
      </c>
      <c r="BB142" s="771">
        <f t="shared" si="120"/>
        <v>0.87293879174624323</v>
      </c>
      <c r="BC142" s="748">
        <f t="shared" si="120"/>
        <v>0.54603343857545172</v>
      </c>
      <c r="BD142" s="428"/>
      <c r="BE142" s="428"/>
      <c r="BF142" s="428"/>
      <c r="BG142" s="429">
        <f t="shared" ref="BG142:BN142" si="121">BG72</f>
        <v>0</v>
      </c>
      <c r="BH142" s="430" t="str">
        <f t="shared" si="121"/>
        <v>GFP 24h</v>
      </c>
      <c r="BI142" s="430" t="str">
        <f t="shared" si="121"/>
        <v>RIG1</v>
      </c>
      <c r="BJ142" s="431">
        <f t="shared" si="121"/>
        <v>18.612326663442055</v>
      </c>
      <c r="BK142" s="769">
        <f t="shared" si="121"/>
        <v>20.316361789589468</v>
      </c>
      <c r="BL142" s="770">
        <f t="shared" si="121"/>
        <v>2.4242157702844622</v>
      </c>
      <c r="BM142" s="771">
        <f t="shared" si="121"/>
        <v>-0.20720241696880848</v>
      </c>
      <c r="BN142" s="748">
        <f t="shared" si="121"/>
        <v>1.1544473806070179</v>
      </c>
    </row>
    <row r="143" spans="1:66">
      <c r="A143" s="817"/>
      <c r="B143" s="817"/>
      <c r="C143" s="429">
        <f t="shared" ref="C143:F144" si="122">C73</f>
        <v>0</v>
      </c>
      <c r="D143" s="430" t="str">
        <f t="shared" si="122"/>
        <v>WT 24h</v>
      </c>
      <c r="E143" s="430" t="str">
        <f t="shared" si="122"/>
        <v>Rig1</v>
      </c>
      <c r="F143" s="475">
        <f t="shared" si="122"/>
        <v>22.869573064947296</v>
      </c>
      <c r="G143" s="752"/>
      <c r="H143" s="755"/>
      <c r="I143" s="755"/>
      <c r="J143" s="758"/>
      <c r="K143" s="749"/>
      <c r="L143" s="427"/>
      <c r="M143" s="427"/>
      <c r="N143" s="427"/>
      <c r="O143" s="429">
        <f t="shared" ref="O143:R144" si="123">O73</f>
        <v>0</v>
      </c>
      <c r="P143" s="430" t="str">
        <f t="shared" si="123"/>
        <v>Set 1 24h</v>
      </c>
      <c r="Q143" s="430" t="str">
        <f t="shared" si="123"/>
        <v>Rig1</v>
      </c>
      <c r="R143" s="431">
        <f t="shared" si="123"/>
        <v>24.813533216467938</v>
      </c>
      <c r="S143" s="752"/>
      <c r="T143" s="755"/>
      <c r="U143" s="758"/>
      <c r="V143" s="749"/>
      <c r="W143" s="428"/>
      <c r="X143" s="428"/>
      <c r="Y143" s="428"/>
      <c r="Z143" s="429">
        <f t="shared" ref="Z143:AC144" si="124">Z73</f>
        <v>0</v>
      </c>
      <c r="AA143" s="430" t="str">
        <f t="shared" si="124"/>
        <v>Set 2 24h</v>
      </c>
      <c r="AB143" s="430" t="str">
        <f t="shared" si="124"/>
        <v>Rig1</v>
      </c>
      <c r="AC143" s="431">
        <f t="shared" si="124"/>
        <v>22.59461256043766</v>
      </c>
      <c r="AD143" s="752"/>
      <c r="AE143" s="755"/>
      <c r="AF143" s="758"/>
      <c r="AG143" s="749"/>
      <c r="AH143" s="428"/>
      <c r="AI143" s="428"/>
      <c r="AJ143" s="428"/>
      <c r="AK143" s="429">
        <f t="shared" ref="AK143:AN144" si="125">AK73</f>
        <v>0</v>
      </c>
      <c r="AL143" s="430" t="str">
        <f t="shared" si="125"/>
        <v>Set 4 24h</v>
      </c>
      <c r="AM143" s="430" t="str">
        <f t="shared" si="125"/>
        <v>Rig1</v>
      </c>
      <c r="AN143" s="431">
        <f t="shared" si="125"/>
        <v>25.410769687865695</v>
      </c>
      <c r="AO143" s="752"/>
      <c r="AP143" s="755"/>
      <c r="AQ143" s="758"/>
      <c r="AR143" s="749"/>
      <c r="AS143" s="428"/>
      <c r="AT143" s="428"/>
      <c r="AU143" s="428"/>
      <c r="AV143" s="429">
        <f t="shared" ref="AV143:AY144" si="126">AV73</f>
        <v>0</v>
      </c>
      <c r="AW143" s="430" t="str">
        <f t="shared" si="126"/>
        <v>Set 5 24h</v>
      </c>
      <c r="AX143" s="430" t="str">
        <f t="shared" si="126"/>
        <v>Rig1</v>
      </c>
      <c r="AY143" s="431">
        <f t="shared" si="126"/>
        <v>23.872663503788537</v>
      </c>
      <c r="AZ143" s="752"/>
      <c r="BA143" s="755"/>
      <c r="BB143" s="758"/>
      <c r="BC143" s="749"/>
      <c r="BD143" s="428"/>
      <c r="BE143" s="428"/>
      <c r="BF143" s="428"/>
      <c r="BG143" s="429">
        <f t="shared" ref="BG143:BJ144" si="127">BG73</f>
        <v>0</v>
      </c>
      <c r="BH143" s="430" t="str">
        <f t="shared" si="127"/>
        <v>GFP 24h</v>
      </c>
      <c r="BI143" s="430" t="str">
        <f t="shared" si="127"/>
        <v>Rig1</v>
      </c>
      <c r="BJ143" s="431">
        <f t="shared" si="127"/>
        <v>20.891992100119822</v>
      </c>
      <c r="BK143" s="752"/>
      <c r="BL143" s="755"/>
      <c r="BM143" s="758"/>
      <c r="BN143" s="749"/>
    </row>
    <row r="144" spans="1:66">
      <c r="A144" s="817"/>
      <c r="B144" s="817"/>
      <c r="C144" s="432">
        <f t="shared" si="122"/>
        <v>0</v>
      </c>
      <c r="D144" s="433" t="str">
        <f t="shared" si="122"/>
        <v>WT 24h</v>
      </c>
      <c r="E144" s="433" t="str">
        <f t="shared" si="122"/>
        <v>RIG1</v>
      </c>
      <c r="F144" s="476">
        <f t="shared" si="122"/>
        <v>23.143863781676629</v>
      </c>
      <c r="G144" s="753"/>
      <c r="H144" s="756"/>
      <c r="I144" s="755"/>
      <c r="J144" s="759"/>
      <c r="K144" s="761"/>
      <c r="L144" s="427"/>
      <c r="M144" s="427"/>
      <c r="N144" s="427"/>
      <c r="O144" s="432">
        <f t="shared" si="123"/>
        <v>0</v>
      </c>
      <c r="P144" s="433" t="str">
        <f t="shared" si="123"/>
        <v>Set 1 24h</v>
      </c>
      <c r="Q144" s="433" t="str">
        <f t="shared" si="123"/>
        <v>RIG1</v>
      </c>
      <c r="R144" s="434">
        <f t="shared" si="123"/>
        <v>24.787249339916094</v>
      </c>
      <c r="S144" s="763"/>
      <c r="T144" s="765"/>
      <c r="U144" s="767"/>
      <c r="V144" s="750"/>
      <c r="W144" s="428"/>
      <c r="X144" s="428"/>
      <c r="Y144" s="428"/>
      <c r="Z144" s="432">
        <f t="shared" si="124"/>
        <v>0</v>
      </c>
      <c r="AA144" s="433" t="str">
        <f t="shared" si="124"/>
        <v>Set 2 24h</v>
      </c>
      <c r="AB144" s="433" t="str">
        <f t="shared" si="124"/>
        <v>RIG1</v>
      </c>
      <c r="AC144" s="434">
        <f t="shared" si="124"/>
        <v>22.610209866076374</v>
      </c>
      <c r="AD144" s="763"/>
      <c r="AE144" s="765"/>
      <c r="AF144" s="767"/>
      <c r="AG144" s="750"/>
      <c r="AH144" s="428"/>
      <c r="AI144" s="428"/>
      <c r="AJ144" s="428"/>
      <c r="AK144" s="432">
        <f t="shared" si="125"/>
        <v>0</v>
      </c>
      <c r="AL144" s="433" t="str">
        <f t="shared" si="125"/>
        <v>Set 4 24h</v>
      </c>
      <c r="AM144" s="433" t="str">
        <f t="shared" si="125"/>
        <v>RIG1</v>
      </c>
      <c r="AN144" s="434">
        <f t="shared" si="125"/>
        <v>26.151579478064889</v>
      </c>
      <c r="AO144" s="763"/>
      <c r="AP144" s="765"/>
      <c r="AQ144" s="767"/>
      <c r="AR144" s="750"/>
      <c r="AS144" s="428"/>
      <c r="AT144" s="428"/>
      <c r="AU144" s="428"/>
      <c r="AV144" s="432">
        <f t="shared" si="126"/>
        <v>0</v>
      </c>
      <c r="AW144" s="433" t="str">
        <f t="shared" si="126"/>
        <v>Set 5 24h</v>
      </c>
      <c r="AX144" s="433" t="str">
        <f t="shared" si="126"/>
        <v>RIG1</v>
      </c>
      <c r="AY144" s="434">
        <f t="shared" si="126"/>
        <v>0</v>
      </c>
      <c r="AZ144" s="763"/>
      <c r="BA144" s="765"/>
      <c r="BB144" s="767"/>
      <c r="BC144" s="750"/>
      <c r="BD144" s="428"/>
      <c r="BE144" s="428"/>
      <c r="BF144" s="428"/>
      <c r="BG144" s="432">
        <f t="shared" si="127"/>
        <v>0</v>
      </c>
      <c r="BH144" s="433" t="str">
        <f t="shared" si="127"/>
        <v>GFP 24h</v>
      </c>
      <c r="BI144" s="433" t="str">
        <f t="shared" si="127"/>
        <v>RIG1</v>
      </c>
      <c r="BJ144" s="434">
        <f t="shared" si="127"/>
        <v>21.444766605206532</v>
      </c>
      <c r="BK144" s="763"/>
      <c r="BL144" s="765"/>
      <c r="BM144" s="767"/>
      <c r="BN144" s="750"/>
    </row>
    <row r="145" spans="1:66">
      <c r="A145" s="817"/>
      <c r="B145" s="817"/>
      <c r="C145" s="437">
        <f t="shared" ref="C145:F150" si="128">C75</f>
        <v>0</v>
      </c>
      <c r="D145" s="438" t="str">
        <f t="shared" si="128"/>
        <v>WT 24h</v>
      </c>
      <c r="E145" s="438" t="str">
        <f t="shared" si="128"/>
        <v>RIG1</v>
      </c>
      <c r="F145" s="477">
        <f t="shared" si="128"/>
        <v>22.517453635260445</v>
      </c>
      <c r="G145" s="751">
        <f>G75</f>
        <v>23.159823250743301</v>
      </c>
      <c r="H145" s="754">
        <f>H75</f>
        <v>2.4967125747109016</v>
      </c>
      <c r="I145" s="755"/>
      <c r="J145" s="757">
        <f>J75</f>
        <v>-0.13470561254236912</v>
      </c>
      <c r="K145" s="760">
        <f>K75</f>
        <v>1.097868766595461</v>
      </c>
      <c r="L145" s="427"/>
      <c r="M145" s="427"/>
      <c r="N145" s="427"/>
      <c r="O145" s="437">
        <f t="shared" ref="O145:R150" si="129">O75</f>
        <v>0</v>
      </c>
      <c r="P145" s="438" t="str">
        <f t="shared" si="129"/>
        <v>Set 1 24h</v>
      </c>
      <c r="Q145" s="438" t="str">
        <f t="shared" si="129"/>
        <v>RIG1</v>
      </c>
      <c r="R145" s="439">
        <f t="shared" si="129"/>
        <v>23.405030986419888</v>
      </c>
      <c r="S145" s="762">
        <f>S75</f>
        <v>23.058127234522534</v>
      </c>
      <c r="T145" s="764">
        <f>T75</f>
        <v>5.40941797956987</v>
      </c>
      <c r="U145" s="766">
        <f>U75</f>
        <v>2.7779997923165993</v>
      </c>
      <c r="V145" s="768">
        <f>V75</f>
        <v>0.14579369221131175</v>
      </c>
      <c r="W145" s="428"/>
      <c r="X145" s="428"/>
      <c r="Y145" s="428"/>
      <c r="Z145" s="437">
        <f t="shared" ref="Z145:AC145" si="130">Z75</f>
        <v>0</v>
      </c>
      <c r="AA145" s="438" t="str">
        <f t="shared" si="130"/>
        <v>Set 2 24h</v>
      </c>
      <c r="AB145" s="438" t="str">
        <f t="shared" si="130"/>
        <v>RIG1</v>
      </c>
      <c r="AC145" s="439">
        <f t="shared" si="130"/>
        <v>23.192043247030803</v>
      </c>
      <c r="AD145" s="762">
        <f>AD75</f>
        <v>22.837375976301271</v>
      </c>
      <c r="AE145" s="764">
        <f>AE75</f>
        <v>4.9786479212696229</v>
      </c>
      <c r="AF145" s="766">
        <f>AF75</f>
        <v>2.3472297340163522</v>
      </c>
      <c r="AG145" s="768">
        <f>AG75</f>
        <v>0.19652302631767085</v>
      </c>
      <c r="AH145" s="428"/>
      <c r="AI145" s="428"/>
      <c r="AJ145" s="428"/>
      <c r="AK145" s="437">
        <f t="shared" ref="AK145:AN145" si="131">AK75</f>
        <v>0</v>
      </c>
      <c r="AL145" s="438" t="str">
        <f t="shared" si="131"/>
        <v>Set 4 24h</v>
      </c>
      <c r="AM145" s="438" t="str">
        <f t="shared" si="131"/>
        <v>RIG1</v>
      </c>
      <c r="AN145" s="439">
        <f t="shared" si="131"/>
        <v>25.275397442054029</v>
      </c>
      <c r="AO145" s="762">
        <f>AO75</f>
        <v>25.101687661432084</v>
      </c>
      <c r="AP145" s="764">
        <f>AP75</f>
        <v>4.7808427982107098</v>
      </c>
      <c r="AQ145" s="766">
        <f>AQ75</f>
        <v>2.1494246109574391</v>
      </c>
      <c r="AR145" s="768">
        <f>AR75</f>
        <v>0.22540249484585298</v>
      </c>
      <c r="AS145" s="428"/>
      <c r="AT145" s="428"/>
      <c r="AU145" s="428"/>
      <c r="AV145" s="437">
        <f t="shared" ref="AV145:AY145" si="132">AV75</f>
        <v>0</v>
      </c>
      <c r="AW145" s="438" t="str">
        <f t="shared" si="132"/>
        <v>Set 5 24h</v>
      </c>
      <c r="AX145" s="438" t="str">
        <f t="shared" si="132"/>
        <v>RIG1</v>
      </c>
      <c r="AY145" s="439">
        <f t="shared" si="132"/>
        <v>0</v>
      </c>
      <c r="AZ145" s="762">
        <f>AZ75</f>
        <v>25.16487776518936</v>
      </c>
      <c r="BA145" s="764">
        <f>BA75</f>
        <v>4.8440329019679851</v>
      </c>
      <c r="BB145" s="766">
        <f>BB75</f>
        <v>2.2126147147147144</v>
      </c>
      <c r="BC145" s="768">
        <f>BC75</f>
        <v>0.21574294462620933</v>
      </c>
      <c r="BD145" s="428"/>
      <c r="BE145" s="428"/>
      <c r="BF145" s="428"/>
      <c r="BG145" s="437">
        <f t="shared" ref="BG145:BJ145" si="133">BG75</f>
        <v>0</v>
      </c>
      <c r="BH145" s="438" t="str">
        <f t="shared" si="133"/>
        <v>GFP 24h</v>
      </c>
      <c r="BI145" s="438" t="str">
        <f t="shared" si="133"/>
        <v>RIG1</v>
      </c>
      <c r="BJ145" s="439">
        <f t="shared" si="133"/>
        <v>21.342363318034558</v>
      </c>
      <c r="BK145" s="762">
        <f>BK75</f>
        <v>20.844305713791773</v>
      </c>
      <c r="BL145" s="764">
        <f>BL75</f>
        <v>2.381813511900404</v>
      </c>
      <c r="BM145" s="766">
        <f>BM75</f>
        <v>-0.24960467535286668</v>
      </c>
      <c r="BN145" s="768">
        <f>BN75</f>
        <v>1.1888812952940768</v>
      </c>
    </row>
    <row r="146" spans="1:66">
      <c r="A146" s="817"/>
      <c r="B146" s="817"/>
      <c r="C146" s="437">
        <f t="shared" si="128"/>
        <v>0</v>
      </c>
      <c r="D146" s="438" t="str">
        <f t="shared" si="128"/>
        <v>WT 24h</v>
      </c>
      <c r="E146" s="438" t="str">
        <f t="shared" si="128"/>
        <v>RIG1</v>
      </c>
      <c r="F146" s="477">
        <f t="shared" si="128"/>
        <v>0</v>
      </c>
      <c r="G146" s="752"/>
      <c r="H146" s="755"/>
      <c r="I146" s="755"/>
      <c r="J146" s="758"/>
      <c r="K146" s="749"/>
      <c r="L146" s="427"/>
      <c r="M146" s="427"/>
      <c r="N146" s="427"/>
      <c r="O146" s="437">
        <f t="shared" si="129"/>
        <v>0</v>
      </c>
      <c r="P146" s="438" t="str">
        <f t="shared" si="129"/>
        <v>Set 1 24h</v>
      </c>
      <c r="Q146" s="438" t="str">
        <f t="shared" si="129"/>
        <v>RIG1</v>
      </c>
      <c r="R146" s="439">
        <f t="shared" si="129"/>
        <v>22.860995428239612</v>
      </c>
      <c r="S146" s="752"/>
      <c r="T146" s="755"/>
      <c r="U146" s="758"/>
      <c r="V146" s="749"/>
      <c r="W146" s="428"/>
      <c r="X146" s="428"/>
      <c r="Y146" s="428"/>
      <c r="Z146" s="437">
        <f t="shared" ref="Z146:AC146" si="134">Z76</f>
        <v>0</v>
      </c>
      <c r="AA146" s="438" t="str">
        <f t="shared" si="134"/>
        <v>Set 2 24h</v>
      </c>
      <c r="AB146" s="438" t="str">
        <f t="shared" si="134"/>
        <v>RIG1</v>
      </c>
      <c r="AC146" s="439">
        <f t="shared" si="134"/>
        <v>22.731145987642073</v>
      </c>
      <c r="AD146" s="752"/>
      <c r="AE146" s="755"/>
      <c r="AF146" s="758"/>
      <c r="AG146" s="749"/>
      <c r="AH146" s="428"/>
      <c r="AI146" s="428"/>
      <c r="AJ146" s="428"/>
      <c r="AK146" s="437">
        <f t="shared" ref="AK146:AN146" si="135">AK76</f>
        <v>0</v>
      </c>
      <c r="AL146" s="438" t="str">
        <f t="shared" si="135"/>
        <v>Set 4 24h</v>
      </c>
      <c r="AM146" s="438" t="str">
        <f t="shared" si="135"/>
        <v>RIG1</v>
      </c>
      <c r="AN146" s="439">
        <f t="shared" si="135"/>
        <v>24.94878445728466</v>
      </c>
      <c r="AO146" s="752"/>
      <c r="AP146" s="755"/>
      <c r="AQ146" s="758"/>
      <c r="AR146" s="749"/>
      <c r="AS146" s="428"/>
      <c r="AT146" s="428"/>
      <c r="AU146" s="428"/>
      <c r="AV146" s="437">
        <f t="shared" ref="AV146:AY146" si="136">AV76</f>
        <v>0</v>
      </c>
      <c r="AW146" s="438" t="str">
        <f t="shared" si="136"/>
        <v>Set 5 24h</v>
      </c>
      <c r="AX146" s="438" t="str">
        <f t="shared" si="136"/>
        <v>RIG1</v>
      </c>
      <c r="AY146" s="439">
        <f t="shared" si="136"/>
        <v>25.16487776518936</v>
      </c>
      <c r="AZ146" s="752"/>
      <c r="BA146" s="755"/>
      <c r="BB146" s="758"/>
      <c r="BC146" s="749"/>
      <c r="BD146" s="428"/>
      <c r="BE146" s="428"/>
      <c r="BF146" s="428"/>
      <c r="BG146" s="437">
        <f t="shared" ref="BG146:BJ146" si="137">BG76</f>
        <v>0</v>
      </c>
      <c r="BH146" s="438" t="str">
        <f t="shared" si="137"/>
        <v>GFP 24h</v>
      </c>
      <c r="BI146" s="438" t="str">
        <f t="shared" si="137"/>
        <v>RIG1</v>
      </c>
      <c r="BJ146" s="439">
        <f t="shared" si="137"/>
        <v>20.810300504000708</v>
      </c>
      <c r="BK146" s="752"/>
      <c r="BL146" s="755"/>
      <c r="BM146" s="758"/>
      <c r="BN146" s="749"/>
    </row>
    <row r="147" spans="1:66">
      <c r="A147" s="817"/>
      <c r="B147" s="817"/>
      <c r="C147" s="440">
        <f t="shared" si="128"/>
        <v>0</v>
      </c>
      <c r="D147" s="441" t="str">
        <f t="shared" si="128"/>
        <v>WT 24h</v>
      </c>
      <c r="E147" s="441" t="str">
        <f t="shared" si="128"/>
        <v>RIG1</v>
      </c>
      <c r="F147" s="478">
        <f t="shared" si="128"/>
        <v>23.802192866226157</v>
      </c>
      <c r="G147" s="753"/>
      <c r="H147" s="756"/>
      <c r="I147" s="755"/>
      <c r="J147" s="759"/>
      <c r="K147" s="761"/>
      <c r="L147" s="427"/>
      <c r="M147" s="427"/>
      <c r="N147" s="427"/>
      <c r="O147" s="440">
        <f t="shared" si="129"/>
        <v>0</v>
      </c>
      <c r="P147" s="441" t="str">
        <f t="shared" si="129"/>
        <v>Set 1 24h</v>
      </c>
      <c r="Q147" s="441" t="str">
        <f t="shared" si="129"/>
        <v>RIG1</v>
      </c>
      <c r="R147" s="442">
        <f t="shared" si="129"/>
        <v>22.908355288908105</v>
      </c>
      <c r="S147" s="763"/>
      <c r="T147" s="765"/>
      <c r="U147" s="767"/>
      <c r="V147" s="750"/>
      <c r="W147" s="428"/>
      <c r="X147" s="428"/>
      <c r="Y147" s="428"/>
      <c r="Z147" s="440">
        <f t="shared" ref="Z147:AC147" si="138">Z77</f>
        <v>0</v>
      </c>
      <c r="AA147" s="441" t="str">
        <f t="shared" si="138"/>
        <v>Set 2 24h</v>
      </c>
      <c r="AB147" s="441" t="str">
        <f t="shared" si="138"/>
        <v>RIG1</v>
      </c>
      <c r="AC147" s="442">
        <f t="shared" si="138"/>
        <v>22.588938694230933</v>
      </c>
      <c r="AD147" s="763"/>
      <c r="AE147" s="765"/>
      <c r="AF147" s="767"/>
      <c r="AG147" s="750"/>
      <c r="AH147" s="428"/>
      <c r="AI147" s="428"/>
      <c r="AJ147" s="428"/>
      <c r="AK147" s="440">
        <f t="shared" ref="AK147:AN147" si="139">AK77</f>
        <v>0</v>
      </c>
      <c r="AL147" s="441" t="str">
        <f t="shared" si="139"/>
        <v>Set 4 24h</v>
      </c>
      <c r="AM147" s="441" t="str">
        <f t="shared" si="139"/>
        <v>RIG1</v>
      </c>
      <c r="AN147" s="442">
        <f t="shared" si="139"/>
        <v>25.080881084957561</v>
      </c>
      <c r="AO147" s="763"/>
      <c r="AP147" s="765"/>
      <c r="AQ147" s="767"/>
      <c r="AR147" s="750"/>
      <c r="AS147" s="428"/>
      <c r="AT147" s="428"/>
      <c r="AU147" s="428"/>
      <c r="AV147" s="440">
        <f t="shared" ref="AV147:AY147" si="140">AV77</f>
        <v>0</v>
      </c>
      <c r="AW147" s="441" t="str">
        <f t="shared" si="140"/>
        <v>Set 5 24h</v>
      </c>
      <c r="AX147" s="441" t="str">
        <f t="shared" si="140"/>
        <v>RIG1</v>
      </c>
      <c r="AY147" s="442">
        <f t="shared" si="140"/>
        <v>0</v>
      </c>
      <c r="AZ147" s="763"/>
      <c r="BA147" s="765"/>
      <c r="BB147" s="767"/>
      <c r="BC147" s="750"/>
      <c r="BD147" s="428"/>
      <c r="BE147" s="428"/>
      <c r="BF147" s="428"/>
      <c r="BG147" s="440">
        <f t="shared" ref="BG147:BJ147" si="141">BG77</f>
        <v>0</v>
      </c>
      <c r="BH147" s="441" t="str">
        <f t="shared" si="141"/>
        <v>GFP 24h</v>
      </c>
      <c r="BI147" s="441" t="str">
        <f t="shared" si="141"/>
        <v>RIG1</v>
      </c>
      <c r="BJ147" s="442">
        <f t="shared" si="141"/>
        <v>20.380253319340049</v>
      </c>
      <c r="BK147" s="763"/>
      <c r="BL147" s="765"/>
      <c r="BM147" s="767"/>
      <c r="BN147" s="750"/>
    </row>
    <row r="148" spans="1:66">
      <c r="A148" s="817"/>
      <c r="B148" s="817"/>
      <c r="C148" s="429">
        <f t="shared" si="128"/>
        <v>0</v>
      </c>
      <c r="D148" s="430" t="str">
        <f t="shared" si="128"/>
        <v>WT 24h</v>
      </c>
      <c r="E148" s="430" t="str">
        <f t="shared" si="128"/>
        <v>RIG1</v>
      </c>
      <c r="F148" s="475">
        <f t="shared" si="128"/>
        <v>23.312192013540759</v>
      </c>
      <c r="G148" s="751">
        <f>G78</f>
        <v>23.312192013540759</v>
      </c>
      <c r="H148" s="754">
        <f>H78</f>
        <v>2.7059572147271176</v>
      </c>
      <c r="I148" s="755"/>
      <c r="J148" s="757">
        <f>J78</f>
        <v>7.4539027473846886E-2</v>
      </c>
      <c r="K148" s="760">
        <f>K78</f>
        <v>0.94964550492661126</v>
      </c>
      <c r="L148" s="427"/>
      <c r="M148" s="427"/>
      <c r="N148" s="427"/>
      <c r="O148" s="429">
        <f t="shared" si="129"/>
        <v>0</v>
      </c>
      <c r="P148" s="430" t="str">
        <f t="shared" si="129"/>
        <v>Set 1 24h</v>
      </c>
      <c r="Q148" s="430" t="str">
        <f t="shared" si="129"/>
        <v>RIG1</v>
      </c>
      <c r="R148" s="431">
        <f t="shared" si="129"/>
        <v>23.888904661741563</v>
      </c>
      <c r="S148" s="752">
        <f>S78</f>
        <v>24.327915167269367</v>
      </c>
      <c r="T148" s="755">
        <f>T78</f>
        <v>5.0860980036532446</v>
      </c>
      <c r="U148" s="758">
        <f>U78</f>
        <v>2.4546798163999739</v>
      </c>
      <c r="V148" s="749">
        <f>V78</f>
        <v>0.18241802336506574</v>
      </c>
      <c r="W148" s="428"/>
      <c r="X148" s="428"/>
      <c r="Y148" s="428"/>
      <c r="Z148" s="429">
        <f t="shared" ref="Z148:AC148" si="142">Z78</f>
        <v>0</v>
      </c>
      <c r="AA148" s="430" t="str">
        <f t="shared" si="142"/>
        <v>Set 2 24h</v>
      </c>
      <c r="AB148" s="430" t="str">
        <f t="shared" si="142"/>
        <v>RIG1</v>
      </c>
      <c r="AC148" s="431">
        <f t="shared" si="142"/>
        <v>23.489881807178264</v>
      </c>
      <c r="AD148" s="752">
        <f>AD78</f>
        <v>24.055426444986196</v>
      </c>
      <c r="AE148" s="755">
        <f>AE78</f>
        <v>4.7916718465594315</v>
      </c>
      <c r="AF148" s="758">
        <f>AF78</f>
        <v>2.1602536593061608</v>
      </c>
      <c r="AG148" s="749">
        <f>AG78</f>
        <v>0.22371692963999809</v>
      </c>
      <c r="AH148" s="428"/>
      <c r="AI148" s="428"/>
      <c r="AJ148" s="428"/>
      <c r="AK148" s="429">
        <f t="shared" ref="AK148:AN148" si="143">AK78</f>
        <v>0</v>
      </c>
      <c r="AL148" s="430" t="str">
        <f t="shared" si="143"/>
        <v>Set 4 24h</v>
      </c>
      <c r="AM148" s="430" t="str">
        <f t="shared" si="143"/>
        <v>RIG1</v>
      </c>
      <c r="AN148" s="431">
        <f t="shared" si="143"/>
        <v>24.107454749003765</v>
      </c>
      <c r="AO148" s="752">
        <f>AO78</f>
        <v>24.533775435091218</v>
      </c>
      <c r="AP148" s="755">
        <f>AP78</f>
        <v>5.2960172260930918</v>
      </c>
      <c r="AQ148" s="758">
        <f>AQ78</f>
        <v>2.6645990388398211</v>
      </c>
      <c r="AR148" s="749">
        <f>AR78</f>
        <v>0.15771600324890289</v>
      </c>
      <c r="AS148" s="428"/>
      <c r="AT148" s="428"/>
      <c r="AU148" s="428"/>
      <c r="AV148" s="429">
        <f t="shared" ref="AV148:AY148" si="144">AV78</f>
        <v>0</v>
      </c>
      <c r="AW148" s="430" t="str">
        <f t="shared" si="144"/>
        <v>Set 5 24h</v>
      </c>
      <c r="AX148" s="430" t="str">
        <f t="shared" si="144"/>
        <v>RIG1</v>
      </c>
      <c r="AY148" s="431">
        <f t="shared" si="144"/>
        <v>0</v>
      </c>
      <c r="AZ148" s="752">
        <f>AZ78</f>
        <v>23.900992112403969</v>
      </c>
      <c r="BA148" s="755">
        <f>BA78</f>
        <v>4.6632339034058425</v>
      </c>
      <c r="BB148" s="758">
        <f>BB78</f>
        <v>2.0318157161525718</v>
      </c>
      <c r="BC148" s="749">
        <f>BC78</f>
        <v>0.24454710379394859</v>
      </c>
      <c r="BD148" s="428"/>
      <c r="BE148" s="428"/>
      <c r="BF148" s="428"/>
      <c r="BG148" s="429">
        <f t="shared" ref="BG148:BJ148" si="145">BG78</f>
        <v>0</v>
      </c>
      <c r="BH148" s="430" t="str">
        <f t="shared" si="145"/>
        <v>GFP 24h</v>
      </c>
      <c r="BI148" s="430" t="str">
        <f t="shared" si="145"/>
        <v>RIG1</v>
      </c>
      <c r="BJ148" s="431">
        <f t="shared" si="145"/>
        <v>20.902435795023123</v>
      </c>
      <c r="BK148" s="752">
        <f>BK78</f>
        <v>21.015581412190809</v>
      </c>
      <c r="BL148" s="755">
        <f>BL78</f>
        <v>2.4449597585455223</v>
      </c>
      <c r="BM148" s="758">
        <f>BM78</f>
        <v>-0.18645842870774842</v>
      </c>
      <c r="BN148" s="749">
        <f>BN78</f>
        <v>1.1379667691170592</v>
      </c>
    </row>
    <row r="149" spans="1:66">
      <c r="A149" s="817"/>
      <c r="B149" s="817"/>
      <c r="C149" s="429">
        <f t="shared" si="128"/>
        <v>0</v>
      </c>
      <c r="D149" s="430" t="str">
        <f t="shared" si="128"/>
        <v>WT 24h</v>
      </c>
      <c r="E149" s="430" t="str">
        <f t="shared" si="128"/>
        <v>RIG1</v>
      </c>
      <c r="F149" s="475">
        <f t="shared" si="128"/>
        <v>0</v>
      </c>
      <c r="G149" s="752"/>
      <c r="H149" s="755"/>
      <c r="I149" s="755"/>
      <c r="J149" s="758"/>
      <c r="K149" s="749"/>
      <c r="L149" s="427"/>
      <c r="M149" s="427"/>
      <c r="N149" s="427"/>
      <c r="O149" s="429">
        <f t="shared" si="129"/>
        <v>0</v>
      </c>
      <c r="P149" s="430" t="str">
        <f t="shared" si="129"/>
        <v>Set 1 24h</v>
      </c>
      <c r="Q149" s="430" t="str">
        <f t="shared" si="129"/>
        <v>RIG1</v>
      </c>
      <c r="R149" s="431">
        <f t="shared" si="129"/>
        <v>24.240996597643914</v>
      </c>
      <c r="S149" s="752"/>
      <c r="T149" s="755"/>
      <c r="U149" s="758"/>
      <c r="V149" s="749"/>
      <c r="W149" s="428"/>
      <c r="X149" s="428"/>
      <c r="Y149" s="428"/>
      <c r="Z149" s="429">
        <f t="shared" ref="Z149:AC150" si="146">Z79</f>
        <v>0</v>
      </c>
      <c r="AA149" s="430" t="str">
        <f t="shared" si="146"/>
        <v>Set 2 24h</v>
      </c>
      <c r="AB149" s="430" t="str">
        <f t="shared" si="146"/>
        <v>RIG1</v>
      </c>
      <c r="AC149" s="431">
        <f t="shared" si="146"/>
        <v>23.826280839537375</v>
      </c>
      <c r="AD149" s="752"/>
      <c r="AE149" s="755"/>
      <c r="AF149" s="758"/>
      <c r="AG149" s="749"/>
      <c r="AH149" s="428"/>
      <c r="AI149" s="428"/>
      <c r="AJ149" s="428"/>
      <c r="AK149" s="429">
        <f t="shared" ref="AK149:AN150" si="147">AK79</f>
        <v>0</v>
      </c>
      <c r="AL149" s="430" t="str">
        <f t="shared" si="147"/>
        <v>Set 4 24h</v>
      </c>
      <c r="AM149" s="430" t="str">
        <f t="shared" si="147"/>
        <v>RIG1</v>
      </c>
      <c r="AN149" s="431">
        <f t="shared" si="147"/>
        <v>24.719999332116757</v>
      </c>
      <c r="AO149" s="752"/>
      <c r="AP149" s="755"/>
      <c r="AQ149" s="758"/>
      <c r="AR149" s="749"/>
      <c r="AS149" s="428"/>
      <c r="AT149" s="428"/>
      <c r="AU149" s="428"/>
      <c r="AV149" s="429">
        <f t="shared" ref="AV149:AY150" si="148">AV79</f>
        <v>0</v>
      </c>
      <c r="AW149" s="430" t="str">
        <f t="shared" si="148"/>
        <v>Set 5 24h</v>
      </c>
      <c r="AX149" s="430" t="str">
        <f t="shared" si="148"/>
        <v>RIG1</v>
      </c>
      <c r="AY149" s="431">
        <f t="shared" si="148"/>
        <v>23.900992112403969</v>
      </c>
      <c r="AZ149" s="752"/>
      <c r="BA149" s="755"/>
      <c r="BB149" s="758"/>
      <c r="BC149" s="749"/>
      <c r="BD149" s="428"/>
      <c r="BE149" s="428"/>
      <c r="BF149" s="428"/>
      <c r="BG149" s="429">
        <f t="shared" ref="BG149:BJ149" si="149">BG79</f>
        <v>0</v>
      </c>
      <c r="BH149" s="430" t="str">
        <f t="shared" si="149"/>
        <v>GFP 24h</v>
      </c>
      <c r="BI149" s="430" t="str">
        <f t="shared" si="149"/>
        <v>RIG1</v>
      </c>
      <c r="BJ149" s="431">
        <f t="shared" si="149"/>
        <v>20.70947546847335</v>
      </c>
      <c r="BK149" s="752"/>
      <c r="BL149" s="755"/>
      <c r="BM149" s="758"/>
      <c r="BN149" s="749"/>
    </row>
    <row r="150" spans="1:66" ht="16.2" thickBot="1">
      <c r="A150" s="825"/>
      <c r="B150" s="825"/>
      <c r="C150" s="479">
        <f t="shared" si="128"/>
        <v>0</v>
      </c>
      <c r="D150" s="480" t="str">
        <f t="shared" si="128"/>
        <v>WT 24h</v>
      </c>
      <c r="E150" s="480" t="str">
        <f t="shared" si="128"/>
        <v>RIG1</v>
      </c>
      <c r="F150" s="481">
        <f t="shared" si="128"/>
        <v>0</v>
      </c>
      <c r="G150" s="785"/>
      <c r="H150" s="786"/>
      <c r="I150" s="786"/>
      <c r="J150" s="790"/>
      <c r="K150" s="791"/>
      <c r="L150" s="427"/>
      <c r="M150" s="427"/>
      <c r="N150" s="427"/>
      <c r="O150" s="479">
        <f t="shared" si="129"/>
        <v>0</v>
      </c>
      <c r="P150" s="480" t="str">
        <f t="shared" si="129"/>
        <v>Set 1 24h</v>
      </c>
      <c r="Q150" s="480" t="str">
        <f>Q80</f>
        <v>RIG1</v>
      </c>
      <c r="R150" s="482">
        <f t="shared" ref="R150" si="150">R80</f>
        <v>24.853844242422618</v>
      </c>
      <c r="S150" s="785"/>
      <c r="T150" s="786"/>
      <c r="U150" s="790"/>
      <c r="V150" s="791"/>
      <c r="W150" s="428"/>
      <c r="X150" s="428"/>
      <c r="Y150" s="428"/>
      <c r="Z150" s="479">
        <f t="shared" ref="Z150:AA150" si="151">Z80</f>
        <v>0</v>
      </c>
      <c r="AA150" s="480" t="str">
        <f t="shared" si="151"/>
        <v>Set 2 24h</v>
      </c>
      <c r="AB150" s="480" t="str">
        <f>AB80</f>
        <v>RIG1</v>
      </c>
      <c r="AC150" s="482">
        <f t="shared" si="146"/>
        <v>24.850116688242949</v>
      </c>
      <c r="AD150" s="785"/>
      <c r="AE150" s="786"/>
      <c r="AF150" s="790"/>
      <c r="AG150" s="791"/>
      <c r="AH150" s="428"/>
      <c r="AI150" s="428"/>
      <c r="AJ150" s="428"/>
      <c r="AK150" s="479">
        <f t="shared" ref="AK150:AL150" si="152">AK80</f>
        <v>0</v>
      </c>
      <c r="AL150" s="480" t="str">
        <f t="shared" si="152"/>
        <v>Set 4 24h</v>
      </c>
      <c r="AM150" s="480" t="str">
        <f>AM80</f>
        <v>RIG1</v>
      </c>
      <c r="AN150" s="482">
        <f t="shared" si="147"/>
        <v>24.773872224153145</v>
      </c>
      <c r="AO150" s="785"/>
      <c r="AP150" s="786"/>
      <c r="AQ150" s="790"/>
      <c r="AR150" s="791"/>
      <c r="AS150" s="428"/>
      <c r="AT150" s="428"/>
      <c r="AU150" s="428"/>
      <c r="AV150" s="479">
        <f t="shared" ref="AV150:AW150" si="153">AV80</f>
        <v>0</v>
      </c>
      <c r="AW150" s="480" t="str">
        <f t="shared" si="153"/>
        <v>Set 5 24h</v>
      </c>
      <c r="AX150" s="480" t="str">
        <f>AX80</f>
        <v>RIG1</v>
      </c>
      <c r="AY150" s="482">
        <f t="shared" si="148"/>
        <v>0</v>
      </c>
      <c r="AZ150" s="785"/>
      <c r="BA150" s="786"/>
      <c r="BB150" s="790"/>
      <c r="BC150" s="791"/>
      <c r="BD150" s="428"/>
      <c r="BE150" s="428"/>
      <c r="BF150" s="428"/>
      <c r="BG150" s="479">
        <f t="shared" ref="BG150:BH150" si="154">BG80</f>
        <v>0</v>
      </c>
      <c r="BH150" s="480" t="str">
        <f t="shared" si="154"/>
        <v>GFP 24h</v>
      </c>
      <c r="BI150" s="480" t="str">
        <f>BI80</f>
        <v>RIG1</v>
      </c>
      <c r="BJ150" s="482">
        <f t="shared" ref="BJ150" si="155">BJ80</f>
        <v>21.434832973075956</v>
      </c>
      <c r="BK150" s="785"/>
      <c r="BL150" s="786"/>
      <c r="BM150" s="790"/>
      <c r="BN150" s="791"/>
    </row>
    <row r="151" spans="1:66">
      <c r="A151" s="1"/>
      <c r="B151" s="1"/>
      <c r="C151" s="1"/>
      <c r="D151" s="1"/>
      <c r="E151" s="1"/>
      <c r="F151" s="1"/>
      <c r="G151" s="1"/>
      <c r="H151" s="1"/>
      <c r="I151" s="1"/>
      <c r="J151" s="1"/>
      <c r="K151" s="1"/>
      <c r="L151" s="1"/>
      <c r="M151" s="1"/>
      <c r="N151" s="1"/>
      <c r="O151" s="1"/>
      <c r="P151" s="1"/>
      <c r="Q151" s="1"/>
      <c r="R151" s="1"/>
      <c r="S151" s="1"/>
      <c r="T151" s="1"/>
      <c r="U151" s="1"/>
      <c r="V151" s="1"/>
      <c r="Z151" s="1"/>
      <c r="AA151" s="1"/>
      <c r="AB151" s="1"/>
      <c r="AC151" s="1"/>
      <c r="AD151" s="1"/>
      <c r="AE151" s="1"/>
      <c r="AF151" s="1"/>
      <c r="AG151" s="1"/>
      <c r="AK151" s="1"/>
      <c r="AL151" s="1"/>
      <c r="AM151" s="1"/>
      <c r="AN151" s="1"/>
      <c r="AO151" s="1"/>
      <c r="AP151" s="1"/>
      <c r="AQ151" s="1"/>
      <c r="AR151" s="1"/>
      <c r="AV151" s="1"/>
      <c r="AW151" s="1"/>
      <c r="AX151" s="1"/>
      <c r="AY151" s="1"/>
      <c r="AZ151" s="1"/>
      <c r="BA151" s="1"/>
      <c r="BB151" s="1"/>
      <c r="BC151" s="1"/>
      <c r="BG151" s="1"/>
      <c r="BH151" s="1"/>
      <c r="BI151" s="1"/>
      <c r="BJ151" s="1"/>
      <c r="BK151" s="1"/>
      <c r="BL151" s="1"/>
      <c r="BM151" s="1"/>
      <c r="BN151" s="1"/>
    </row>
    <row r="152" spans="1:66" ht="16.2" thickBot="1">
      <c r="A152" s="1"/>
      <c r="B152" s="1"/>
      <c r="C152" s="1"/>
      <c r="D152" s="1"/>
      <c r="E152" s="1"/>
      <c r="F152" s="1"/>
      <c r="G152" s="1"/>
      <c r="H152" s="1"/>
      <c r="I152" s="1"/>
      <c r="J152" s="1"/>
      <c r="K152" s="1"/>
      <c r="L152" s="1"/>
      <c r="M152" s="1"/>
      <c r="N152" s="1"/>
      <c r="O152" s="1"/>
      <c r="P152" s="1"/>
      <c r="Q152" s="1"/>
      <c r="R152" s="1"/>
      <c r="S152" s="1"/>
      <c r="T152" s="1"/>
      <c r="U152" s="1"/>
      <c r="V152" s="1"/>
      <c r="Z152" s="1"/>
      <c r="AA152" s="1"/>
      <c r="AB152" s="1"/>
      <c r="AC152" s="1"/>
      <c r="AD152" s="1"/>
      <c r="AE152" s="1"/>
      <c r="AF152" s="1"/>
      <c r="AG152" s="1"/>
      <c r="AK152" s="1"/>
      <c r="AL152" s="1"/>
      <c r="AM152" s="1"/>
      <c r="AN152" s="1"/>
      <c r="AO152" s="1"/>
      <c r="AP152" s="1"/>
      <c r="AQ152" s="1"/>
      <c r="AR152" s="1"/>
      <c r="AV152" s="1"/>
      <c r="AW152" s="1"/>
      <c r="AX152" s="1"/>
      <c r="AY152" s="1"/>
      <c r="AZ152" s="1"/>
      <c r="BA152" s="1"/>
      <c r="BB152" s="1"/>
      <c r="BC152" s="1"/>
      <c r="BG152" s="1"/>
      <c r="BH152" s="1"/>
      <c r="BI152" s="1"/>
      <c r="BJ152" s="1"/>
      <c r="BK152" s="1"/>
      <c r="BL152" s="1"/>
      <c r="BM152" s="1"/>
      <c r="BN152" s="1"/>
    </row>
    <row r="153" spans="1:66" ht="16.2" thickBot="1">
      <c r="A153" s="829" t="s">
        <v>14</v>
      </c>
      <c r="B153" s="829" t="str">
        <f>E81</f>
        <v>MDA5</v>
      </c>
      <c r="C153" s="826" t="str">
        <f>C43</f>
        <v>WT 24h</v>
      </c>
      <c r="D153" s="827"/>
      <c r="E153" s="827"/>
      <c r="F153" s="827"/>
      <c r="G153" s="827"/>
      <c r="H153" s="827"/>
      <c r="I153" s="827"/>
      <c r="J153" s="827"/>
      <c r="K153" s="828"/>
      <c r="L153" s="427"/>
      <c r="M153" s="427"/>
      <c r="N153" s="427"/>
      <c r="O153" s="826" t="str">
        <f>O43</f>
        <v>Set 1 24h</v>
      </c>
      <c r="P153" s="827"/>
      <c r="Q153" s="827"/>
      <c r="R153" s="827"/>
      <c r="S153" s="827"/>
      <c r="T153" s="827"/>
      <c r="U153" s="827"/>
      <c r="V153" s="828"/>
      <c r="W153" s="428"/>
      <c r="X153" s="428"/>
      <c r="Y153" s="428"/>
      <c r="Z153" s="826" t="str">
        <f>Z43</f>
        <v>Set 2 24h</v>
      </c>
      <c r="AA153" s="827"/>
      <c r="AB153" s="827"/>
      <c r="AC153" s="827"/>
      <c r="AD153" s="827"/>
      <c r="AE153" s="827"/>
      <c r="AF153" s="827"/>
      <c r="AG153" s="828"/>
      <c r="AH153" s="428"/>
      <c r="AI153" s="428"/>
      <c r="AJ153" s="428"/>
      <c r="AK153" s="826" t="str">
        <f>AK43</f>
        <v>Set 4 24h</v>
      </c>
      <c r="AL153" s="827"/>
      <c r="AM153" s="827"/>
      <c r="AN153" s="827"/>
      <c r="AO153" s="827"/>
      <c r="AP153" s="827"/>
      <c r="AQ153" s="827"/>
      <c r="AR153" s="828"/>
      <c r="AS153" s="428"/>
      <c r="AT153" s="428"/>
      <c r="AU153" s="428"/>
      <c r="AV153" s="826" t="str">
        <f>AX3</f>
        <v>Set 5 24h</v>
      </c>
      <c r="AW153" s="827"/>
      <c r="AX153" s="827"/>
      <c r="AY153" s="827"/>
      <c r="AZ153" s="827"/>
      <c r="BA153" s="827"/>
      <c r="BB153" s="827"/>
      <c r="BC153" s="828"/>
      <c r="BD153" s="428"/>
      <c r="BE153" s="428"/>
      <c r="BF153" s="428"/>
      <c r="BG153" s="826" t="str">
        <f>BI3</f>
        <v>GFP 24h</v>
      </c>
      <c r="BH153" s="827"/>
      <c r="BI153" s="827"/>
      <c r="BJ153" s="827"/>
      <c r="BK153" s="827"/>
      <c r="BL153" s="827"/>
      <c r="BM153" s="827"/>
      <c r="BN153" s="828"/>
    </row>
    <row r="154" spans="1:66" ht="16.2">
      <c r="A154" s="830"/>
      <c r="B154" s="830"/>
      <c r="C154" s="465" t="s">
        <v>0</v>
      </c>
      <c r="D154" s="466" t="s">
        <v>1</v>
      </c>
      <c r="E154" s="466" t="s">
        <v>2</v>
      </c>
      <c r="F154" s="467" t="s">
        <v>3</v>
      </c>
      <c r="G154" s="468" t="s">
        <v>4</v>
      </c>
      <c r="H154" s="469" t="s">
        <v>5</v>
      </c>
      <c r="I154" s="469" t="s">
        <v>6</v>
      </c>
      <c r="J154" s="470" t="s">
        <v>7</v>
      </c>
      <c r="K154" s="471" t="s">
        <v>26</v>
      </c>
      <c r="L154" s="427"/>
      <c r="M154" s="427"/>
      <c r="N154" s="427"/>
      <c r="O154" s="465" t="s">
        <v>0</v>
      </c>
      <c r="P154" s="466" t="s">
        <v>1</v>
      </c>
      <c r="Q154" s="466" t="s">
        <v>2</v>
      </c>
      <c r="R154" s="472" t="s">
        <v>3</v>
      </c>
      <c r="S154" s="473" t="s">
        <v>4</v>
      </c>
      <c r="T154" s="483" t="s">
        <v>5</v>
      </c>
      <c r="U154" s="470" t="s">
        <v>7</v>
      </c>
      <c r="V154" s="471" t="s">
        <v>26</v>
      </c>
      <c r="W154" s="428"/>
      <c r="X154" s="428"/>
      <c r="Y154" s="428"/>
      <c r="Z154" s="465" t="s">
        <v>0</v>
      </c>
      <c r="AA154" s="466" t="s">
        <v>1</v>
      </c>
      <c r="AB154" s="466" t="s">
        <v>2</v>
      </c>
      <c r="AC154" s="472" t="s">
        <v>3</v>
      </c>
      <c r="AD154" s="473" t="s">
        <v>4</v>
      </c>
      <c r="AE154" s="483" t="s">
        <v>5</v>
      </c>
      <c r="AF154" s="470" t="s">
        <v>7</v>
      </c>
      <c r="AG154" s="471" t="s">
        <v>26</v>
      </c>
      <c r="AH154" s="428"/>
      <c r="AI154" s="428"/>
      <c r="AJ154" s="428"/>
      <c r="AK154" s="465" t="s">
        <v>0</v>
      </c>
      <c r="AL154" s="466" t="s">
        <v>1</v>
      </c>
      <c r="AM154" s="466" t="s">
        <v>2</v>
      </c>
      <c r="AN154" s="472" t="s">
        <v>3</v>
      </c>
      <c r="AO154" s="473" t="s">
        <v>4</v>
      </c>
      <c r="AP154" s="483" t="s">
        <v>5</v>
      </c>
      <c r="AQ154" s="470" t="s">
        <v>7</v>
      </c>
      <c r="AR154" s="471" t="s">
        <v>26</v>
      </c>
      <c r="AS154" s="428"/>
      <c r="AT154" s="428"/>
      <c r="AU154" s="428"/>
      <c r="AV154" s="465" t="s">
        <v>0</v>
      </c>
      <c r="AW154" s="466" t="s">
        <v>1</v>
      </c>
      <c r="AX154" s="466" t="s">
        <v>2</v>
      </c>
      <c r="AY154" s="472" t="s">
        <v>3</v>
      </c>
      <c r="AZ154" s="473" t="s">
        <v>4</v>
      </c>
      <c r="BA154" s="483" t="s">
        <v>5</v>
      </c>
      <c r="BB154" s="470" t="s">
        <v>7</v>
      </c>
      <c r="BC154" s="471" t="s">
        <v>26</v>
      </c>
      <c r="BD154" s="428"/>
      <c r="BE154" s="428"/>
      <c r="BF154" s="428"/>
      <c r="BG154" s="465" t="s">
        <v>0</v>
      </c>
      <c r="BH154" s="466" t="s">
        <v>1</v>
      </c>
      <c r="BI154" s="466" t="s">
        <v>2</v>
      </c>
      <c r="BJ154" s="472" t="s">
        <v>3</v>
      </c>
      <c r="BK154" s="473" t="s">
        <v>4</v>
      </c>
      <c r="BL154" s="483" t="s">
        <v>5</v>
      </c>
      <c r="BM154" s="470" t="s">
        <v>7</v>
      </c>
      <c r="BN154" s="471" t="s">
        <v>26</v>
      </c>
    </row>
    <row r="155" spans="1:66">
      <c r="A155" s="830"/>
      <c r="B155" s="830"/>
      <c r="C155" s="484">
        <f t="shared" ref="C155:K155" si="156">C81</f>
        <v>0</v>
      </c>
      <c r="D155" s="485" t="str">
        <f t="shared" si="156"/>
        <v>WT 24h</v>
      </c>
      <c r="E155" s="485" t="str">
        <f t="shared" si="156"/>
        <v>MDA5</v>
      </c>
      <c r="F155" s="486">
        <f t="shared" si="156"/>
        <v>0</v>
      </c>
      <c r="G155" s="832">
        <f t="shared" si="156"/>
        <v>25.793674238624199</v>
      </c>
      <c r="H155" s="835">
        <f t="shared" si="156"/>
        <v>5.3221012203571938</v>
      </c>
      <c r="I155" s="836">
        <f t="shared" si="156"/>
        <v>5.2591612115122892</v>
      </c>
      <c r="J155" s="807">
        <f t="shared" si="156"/>
        <v>6.2940008844904582E-2</v>
      </c>
      <c r="K155" s="839">
        <f t="shared" si="156"/>
        <v>0.95731126495480512</v>
      </c>
      <c r="L155" s="427"/>
      <c r="M155" s="427"/>
      <c r="N155" s="427"/>
      <c r="O155" s="484">
        <f t="shared" ref="O155:V155" si="157">O81</f>
        <v>0</v>
      </c>
      <c r="P155" s="485" t="str">
        <f t="shared" si="157"/>
        <v>Set 1 24h</v>
      </c>
      <c r="Q155" s="485" t="str">
        <f t="shared" si="157"/>
        <v>MDA5</v>
      </c>
      <c r="R155" s="485">
        <f t="shared" si="157"/>
        <v>27.465805721959129</v>
      </c>
      <c r="S155" s="832">
        <f t="shared" si="157"/>
        <v>27.715893118057522</v>
      </c>
      <c r="T155" s="835">
        <f t="shared" si="157"/>
        <v>8.1944198013448819</v>
      </c>
      <c r="U155" s="807">
        <f t="shared" si="157"/>
        <v>2.9352585898325927</v>
      </c>
      <c r="V155" s="839">
        <f t="shared" si="157"/>
        <v>0.13073718193499692</v>
      </c>
      <c r="W155" s="428"/>
      <c r="X155" s="428"/>
      <c r="Y155" s="428"/>
      <c r="Z155" s="484">
        <f t="shared" ref="Z155:AG155" si="158">Z81</f>
        <v>0</v>
      </c>
      <c r="AA155" s="485" t="str">
        <f t="shared" si="158"/>
        <v>Set 2 24h</v>
      </c>
      <c r="AB155" s="485" t="str">
        <f t="shared" si="158"/>
        <v>MDA5</v>
      </c>
      <c r="AC155" s="485">
        <f t="shared" si="158"/>
        <v>24.127260614045717</v>
      </c>
      <c r="AD155" s="832">
        <f t="shared" si="158"/>
        <v>24.638741598182708</v>
      </c>
      <c r="AE155" s="835">
        <f t="shared" si="158"/>
        <v>7.1091418182852451</v>
      </c>
      <c r="AF155" s="807">
        <f t="shared" si="158"/>
        <v>1.8499806067729558</v>
      </c>
      <c r="AG155" s="839">
        <f t="shared" si="158"/>
        <v>0.27739609685027516</v>
      </c>
      <c r="AH155" s="428"/>
      <c r="AI155" s="428"/>
      <c r="AJ155" s="428"/>
      <c r="AK155" s="484">
        <f t="shared" ref="AK155:AR155" si="159">AK81</f>
        <v>0</v>
      </c>
      <c r="AL155" s="485" t="str">
        <f t="shared" si="159"/>
        <v>Set 4 24h</v>
      </c>
      <c r="AM155" s="485" t="str">
        <f t="shared" si="159"/>
        <v>MDA5</v>
      </c>
      <c r="AN155" s="485">
        <f t="shared" si="159"/>
        <v>29.784445523167847</v>
      </c>
      <c r="AO155" s="832">
        <f t="shared" si="159"/>
        <v>29.925614072156577</v>
      </c>
      <c r="AP155" s="835">
        <f t="shared" si="159"/>
        <v>9.5573075473675537</v>
      </c>
      <c r="AQ155" s="807">
        <f t="shared" si="159"/>
        <v>4.2981463358552645</v>
      </c>
      <c r="AR155" s="839">
        <f t="shared" si="159"/>
        <v>5.0831043712823501E-2</v>
      </c>
      <c r="AS155" s="428"/>
      <c r="AT155" s="428"/>
      <c r="AU155" s="428"/>
      <c r="AV155" s="484">
        <f t="shared" ref="AV155:BC155" si="160">AV81</f>
        <v>0</v>
      </c>
      <c r="AW155" s="485" t="str">
        <f t="shared" si="160"/>
        <v>Set 5 24h</v>
      </c>
      <c r="AX155" s="485" t="str">
        <f t="shared" si="160"/>
        <v>MDA5</v>
      </c>
      <c r="AY155" s="485">
        <f t="shared" si="160"/>
        <v>28.379429404453191</v>
      </c>
      <c r="AZ155" s="832">
        <f t="shared" si="160"/>
        <v>28.858995468917215</v>
      </c>
      <c r="BA155" s="835">
        <f t="shared" si="160"/>
        <v>8.4906889441281912</v>
      </c>
      <c r="BB155" s="807">
        <f t="shared" si="160"/>
        <v>3.231527732615902</v>
      </c>
      <c r="BC155" s="839">
        <f t="shared" si="160"/>
        <v>0.10646655967893662</v>
      </c>
      <c r="BD155" s="428"/>
      <c r="BE155" s="428"/>
      <c r="BF155" s="428"/>
      <c r="BG155" s="484">
        <f t="shared" ref="BG155:BN155" si="161">BG81</f>
        <v>0</v>
      </c>
      <c r="BH155" s="485" t="str">
        <f t="shared" si="161"/>
        <v>GFP 24h</v>
      </c>
      <c r="BI155" s="485" t="str">
        <f t="shared" si="161"/>
        <v>MDA5</v>
      </c>
      <c r="BJ155" s="485">
        <f t="shared" si="161"/>
        <v>22.486446604859559</v>
      </c>
      <c r="BK155" s="832">
        <f t="shared" si="161"/>
        <v>22.112681192933678</v>
      </c>
      <c r="BL155" s="835">
        <f t="shared" si="161"/>
        <v>4.2205351736286723</v>
      </c>
      <c r="BM155" s="807">
        <f t="shared" si="161"/>
        <v>-1.038626037883617</v>
      </c>
      <c r="BN155" s="839">
        <f t="shared" si="161"/>
        <v>2.0542703207127788</v>
      </c>
    </row>
    <row r="156" spans="1:66">
      <c r="A156" s="830"/>
      <c r="B156" s="830"/>
      <c r="C156" s="484">
        <f t="shared" ref="C156:F157" si="162">C82</f>
        <v>0</v>
      </c>
      <c r="D156" s="485" t="str">
        <f t="shared" si="162"/>
        <v>WT 24h</v>
      </c>
      <c r="E156" s="485" t="str">
        <f t="shared" si="162"/>
        <v>MDA5</v>
      </c>
      <c r="F156" s="486">
        <f t="shared" si="162"/>
        <v>25.793674238624199</v>
      </c>
      <c r="G156" s="833"/>
      <c r="H156" s="836"/>
      <c r="I156" s="836"/>
      <c r="J156" s="808"/>
      <c r="K156" s="840"/>
      <c r="L156" s="427"/>
      <c r="M156" s="427"/>
      <c r="N156" s="427"/>
      <c r="O156" s="484">
        <f>O82</f>
        <v>0</v>
      </c>
      <c r="P156" s="485" t="str">
        <f>P82</f>
        <v>Set 1 24h</v>
      </c>
      <c r="Q156" s="485" t="str">
        <f t="shared" ref="Q156:R156" si="163">Q82</f>
        <v>MDA5</v>
      </c>
      <c r="R156" s="485">
        <f t="shared" si="163"/>
        <v>27.874626512340619</v>
      </c>
      <c r="S156" s="833"/>
      <c r="T156" s="836"/>
      <c r="U156" s="808"/>
      <c r="V156" s="840"/>
      <c r="W156" s="428"/>
      <c r="X156" s="428"/>
      <c r="Y156" s="428"/>
      <c r="Z156" s="484">
        <f>Z82</f>
        <v>0</v>
      </c>
      <c r="AA156" s="485" t="str">
        <f>AA82</f>
        <v>Set 2 24h</v>
      </c>
      <c r="AB156" s="485" t="str">
        <f t="shared" ref="AB156:AC156" si="164">AB82</f>
        <v>MDA5</v>
      </c>
      <c r="AC156" s="485">
        <f t="shared" si="164"/>
        <v>24.968373939710695</v>
      </c>
      <c r="AD156" s="833"/>
      <c r="AE156" s="836"/>
      <c r="AF156" s="808"/>
      <c r="AG156" s="840"/>
      <c r="AH156" s="428"/>
      <c r="AI156" s="428"/>
      <c r="AJ156" s="428"/>
      <c r="AK156" s="484">
        <f>AK82</f>
        <v>0</v>
      </c>
      <c r="AL156" s="485" t="str">
        <f>AL82</f>
        <v>Set 4 24h</v>
      </c>
      <c r="AM156" s="485" t="str">
        <f t="shared" ref="AM156:AN156" si="165">AM82</f>
        <v>MDA5</v>
      </c>
      <c r="AN156" s="485">
        <f t="shared" si="165"/>
        <v>29.625947708682574</v>
      </c>
      <c r="AO156" s="833"/>
      <c r="AP156" s="836"/>
      <c r="AQ156" s="808"/>
      <c r="AR156" s="840"/>
      <c r="AS156" s="428"/>
      <c r="AT156" s="428"/>
      <c r="AU156" s="428"/>
      <c r="AV156" s="484">
        <f>AV82</f>
        <v>0</v>
      </c>
      <c r="AW156" s="485" t="str">
        <f>AW82</f>
        <v>Set 5 24h</v>
      </c>
      <c r="AX156" s="485" t="str">
        <f t="shared" ref="AX156:AY156" si="166">AX82</f>
        <v>MDA5</v>
      </c>
      <c r="AY156" s="485">
        <f t="shared" si="166"/>
        <v>28.779787682518588</v>
      </c>
      <c r="AZ156" s="833"/>
      <c r="BA156" s="836"/>
      <c r="BB156" s="808"/>
      <c r="BC156" s="840"/>
      <c r="BD156" s="428"/>
      <c r="BE156" s="428"/>
      <c r="BF156" s="428"/>
      <c r="BG156" s="484">
        <f>BG82</f>
        <v>0</v>
      </c>
      <c r="BH156" s="485" t="str">
        <f>BH82</f>
        <v>GFP 24h</v>
      </c>
      <c r="BI156" s="485" t="str">
        <f t="shared" ref="BI156:BJ156" si="167">BI82</f>
        <v>MDA5</v>
      </c>
      <c r="BJ156" s="485">
        <f t="shared" si="167"/>
        <v>21.486815890144221</v>
      </c>
      <c r="BK156" s="833"/>
      <c r="BL156" s="836"/>
      <c r="BM156" s="808"/>
      <c r="BN156" s="840"/>
    </row>
    <row r="157" spans="1:66">
      <c r="A157" s="830"/>
      <c r="B157" s="830"/>
      <c r="C157" s="487">
        <f t="shared" si="162"/>
        <v>0</v>
      </c>
      <c r="D157" s="488" t="str">
        <f t="shared" si="162"/>
        <v>WT 24h</v>
      </c>
      <c r="E157" s="488" t="str">
        <f t="shared" si="162"/>
        <v>MDA5</v>
      </c>
      <c r="F157" s="489">
        <f t="shared" si="162"/>
        <v>0</v>
      </c>
      <c r="G157" s="834"/>
      <c r="H157" s="837"/>
      <c r="I157" s="836"/>
      <c r="J157" s="809"/>
      <c r="K157" s="841"/>
      <c r="L157" s="427"/>
      <c r="M157" s="427"/>
      <c r="N157" s="427"/>
      <c r="O157" s="487">
        <f>O83</f>
        <v>0</v>
      </c>
      <c r="P157" s="488" t="str">
        <f>P83</f>
        <v>Set 1 24h</v>
      </c>
      <c r="Q157" s="488" t="str">
        <f t="shared" ref="Q157:R157" si="168">Q83</f>
        <v>MDA5</v>
      </c>
      <c r="R157" s="488">
        <f t="shared" si="168"/>
        <v>27.807247119872827</v>
      </c>
      <c r="S157" s="834"/>
      <c r="T157" s="837"/>
      <c r="U157" s="809"/>
      <c r="V157" s="841"/>
      <c r="W157" s="428"/>
      <c r="X157" s="428"/>
      <c r="Y157" s="428"/>
      <c r="Z157" s="487">
        <f>Z83</f>
        <v>0</v>
      </c>
      <c r="AA157" s="488" t="str">
        <f>AA83</f>
        <v>Set 2 24h</v>
      </c>
      <c r="AB157" s="488" t="str">
        <f t="shared" ref="AB157:AC157" si="169">AB83</f>
        <v>MDA5</v>
      </c>
      <c r="AC157" s="488">
        <f t="shared" si="169"/>
        <v>24.820590240791716</v>
      </c>
      <c r="AD157" s="834"/>
      <c r="AE157" s="837"/>
      <c r="AF157" s="809"/>
      <c r="AG157" s="841"/>
      <c r="AH157" s="428"/>
      <c r="AI157" s="428"/>
      <c r="AJ157" s="428"/>
      <c r="AK157" s="487">
        <f>AK83</f>
        <v>0</v>
      </c>
      <c r="AL157" s="488" t="str">
        <f>AL83</f>
        <v>Set 4 24h</v>
      </c>
      <c r="AM157" s="488" t="str">
        <f t="shared" ref="AM157:AN157" si="170">AM83</f>
        <v>MDA5</v>
      </c>
      <c r="AN157" s="488">
        <f t="shared" si="170"/>
        <v>30.366448984619304</v>
      </c>
      <c r="AO157" s="834"/>
      <c r="AP157" s="837"/>
      <c r="AQ157" s="809"/>
      <c r="AR157" s="841"/>
      <c r="AS157" s="428"/>
      <c r="AT157" s="428"/>
      <c r="AU157" s="428"/>
      <c r="AV157" s="487">
        <f>AV83</f>
        <v>0</v>
      </c>
      <c r="AW157" s="488" t="str">
        <f>AW83</f>
        <v>Set 5 24h</v>
      </c>
      <c r="AX157" s="488" t="str">
        <f t="shared" ref="AX157:AY157" si="171">AX83</f>
        <v>MDA5</v>
      </c>
      <c r="AY157" s="488">
        <f t="shared" si="171"/>
        <v>29.417769319779872</v>
      </c>
      <c r="AZ157" s="834"/>
      <c r="BA157" s="837"/>
      <c r="BB157" s="809"/>
      <c r="BC157" s="841"/>
      <c r="BD157" s="428"/>
      <c r="BE157" s="428"/>
      <c r="BF157" s="428"/>
      <c r="BG157" s="487">
        <f>BG83</f>
        <v>0</v>
      </c>
      <c r="BH157" s="488" t="str">
        <f>BH83</f>
        <v>GFP 24h</v>
      </c>
      <c r="BI157" s="488" t="str">
        <f t="shared" ref="BI157:BJ157" si="172">BI83</f>
        <v>MDA5</v>
      </c>
      <c r="BJ157" s="488">
        <f t="shared" si="172"/>
        <v>22.364781083797247</v>
      </c>
      <c r="BK157" s="834"/>
      <c r="BL157" s="837"/>
      <c r="BM157" s="809"/>
      <c r="BN157" s="841"/>
    </row>
    <row r="158" spans="1:66">
      <c r="A158" s="830"/>
      <c r="B158" s="830"/>
      <c r="C158" s="490">
        <f t="shared" ref="C158:F163" si="173">C84</f>
        <v>0</v>
      </c>
      <c r="D158" s="491" t="str">
        <f t="shared" si="173"/>
        <v>WT 24h</v>
      </c>
      <c r="E158" s="491" t="str">
        <f t="shared" si="173"/>
        <v>MDA5</v>
      </c>
      <c r="F158" s="492">
        <f t="shared" si="173"/>
        <v>0</v>
      </c>
      <c r="G158" s="842">
        <f>G84</f>
        <v>25.60245952452653</v>
      </c>
      <c r="H158" s="843">
        <f>H84</f>
        <v>4.9393488484941308</v>
      </c>
      <c r="I158" s="836"/>
      <c r="J158" s="844">
        <f>J84</f>
        <v>-0.31981236301815841</v>
      </c>
      <c r="K158" s="845">
        <f>K84</f>
        <v>1.2481682015320135</v>
      </c>
      <c r="L158" s="427"/>
      <c r="M158" s="427"/>
      <c r="N158" s="427"/>
      <c r="O158" s="493">
        <f t="shared" ref="O158:R158" si="174">O84</f>
        <v>0</v>
      </c>
      <c r="P158" s="494" t="str">
        <f t="shared" si="174"/>
        <v>Set 1 24h</v>
      </c>
      <c r="Q158" s="494" t="str">
        <f t="shared" si="174"/>
        <v>MDA5</v>
      </c>
      <c r="R158" s="494">
        <f t="shared" si="174"/>
        <v>26.29339949218631</v>
      </c>
      <c r="S158" s="842">
        <f>S84</f>
        <v>25.903503380710386</v>
      </c>
      <c r="T158" s="843">
        <f>T84</f>
        <v>8.2547941257577229</v>
      </c>
      <c r="U158" s="844">
        <f>U84</f>
        <v>2.9956329142454337</v>
      </c>
      <c r="V158" s="845">
        <f>V84</f>
        <v>0.12537895240865263</v>
      </c>
      <c r="W158" s="428"/>
      <c r="X158" s="428"/>
      <c r="Y158" s="428"/>
      <c r="Z158" s="493">
        <f t="shared" ref="Z158:AC158" si="175">Z84</f>
        <v>0</v>
      </c>
      <c r="AA158" s="494" t="str">
        <f t="shared" si="175"/>
        <v>Set 2 24h</v>
      </c>
      <c r="AB158" s="494" t="str">
        <f t="shared" si="175"/>
        <v>MDA5</v>
      </c>
      <c r="AC158" s="494">
        <f t="shared" si="175"/>
        <v>25.123558358962427</v>
      </c>
      <c r="AD158" s="842">
        <f>AD84</f>
        <v>24.705013292986688</v>
      </c>
      <c r="AE158" s="843">
        <f>AE84</f>
        <v>6.8462852379550405</v>
      </c>
      <c r="AF158" s="844">
        <f>AF84</f>
        <v>1.5871240264427513</v>
      </c>
      <c r="AG158" s="845">
        <f>AG84</f>
        <v>0.33283428878825</v>
      </c>
      <c r="AH158" s="428"/>
      <c r="AI158" s="428"/>
      <c r="AJ158" s="428"/>
      <c r="AK158" s="493">
        <f t="shared" ref="AK158:AN158" si="176">AK84</f>
        <v>0</v>
      </c>
      <c r="AL158" s="494" t="str">
        <f t="shared" si="176"/>
        <v>Set 4 24h</v>
      </c>
      <c r="AM158" s="494" t="str">
        <f t="shared" si="176"/>
        <v>MDA5</v>
      </c>
      <c r="AN158" s="494">
        <f t="shared" si="176"/>
        <v>30.632737324789012</v>
      </c>
      <c r="AO158" s="842">
        <f>AO84</f>
        <v>30.749808428968823</v>
      </c>
      <c r="AP158" s="843">
        <f>AP84</f>
        <v>10.428963565747448</v>
      </c>
      <c r="AQ158" s="844">
        <f>AQ84</f>
        <v>5.1698023542351592</v>
      </c>
      <c r="AR158" s="845">
        <f>AR84</f>
        <v>2.7780139338319788E-2</v>
      </c>
      <c r="AS158" s="428"/>
      <c r="AT158" s="428"/>
      <c r="AU158" s="428"/>
      <c r="AV158" s="493">
        <f t="shared" ref="AV158:AY158" si="177">AV84</f>
        <v>0</v>
      </c>
      <c r="AW158" s="494" t="str">
        <f t="shared" si="177"/>
        <v>Set 5 24h</v>
      </c>
      <c r="AX158" s="494" t="str">
        <f t="shared" si="177"/>
        <v>MDA5</v>
      </c>
      <c r="AY158" s="494">
        <f t="shared" si="177"/>
        <v>31.043947268379654</v>
      </c>
      <c r="AZ158" s="842">
        <f>AZ84</f>
        <v>30.796154756808999</v>
      </c>
      <c r="BA158" s="843">
        <f>BA84</f>
        <v>10.475309893587625</v>
      </c>
      <c r="BB158" s="844">
        <f>BB84</f>
        <v>5.2161486820753353</v>
      </c>
      <c r="BC158" s="845">
        <f>BC84</f>
        <v>2.6901889522691499E-2</v>
      </c>
      <c r="BD158" s="428"/>
      <c r="BE158" s="428"/>
      <c r="BF158" s="428"/>
      <c r="BG158" s="493">
        <f t="shared" ref="BG158:BJ158" si="178">BG84</f>
        <v>0</v>
      </c>
      <c r="BH158" s="494" t="str">
        <f t="shared" si="178"/>
        <v>GFP 24h</v>
      </c>
      <c r="BI158" s="494" t="str">
        <f t="shared" si="178"/>
        <v>MDA5</v>
      </c>
      <c r="BJ158" s="494">
        <f t="shared" si="178"/>
        <v>22.948616325123666</v>
      </c>
      <c r="BK158" s="842">
        <f>BK84</f>
        <v>22.683888595465067</v>
      </c>
      <c r="BL158" s="843">
        <f>BL84</f>
        <v>4.2213963935736984</v>
      </c>
      <c r="BM158" s="844">
        <f>BM84</f>
        <v>-1.0377648179385908</v>
      </c>
      <c r="BN158" s="845">
        <f>BN84</f>
        <v>2.0530443855219693</v>
      </c>
    </row>
    <row r="159" spans="1:66">
      <c r="A159" s="830"/>
      <c r="B159" s="830"/>
      <c r="C159" s="490">
        <f t="shared" si="173"/>
        <v>0</v>
      </c>
      <c r="D159" s="491" t="str">
        <f t="shared" si="173"/>
        <v>WT 24h</v>
      </c>
      <c r="E159" s="491" t="str">
        <f t="shared" si="173"/>
        <v>MDA5</v>
      </c>
      <c r="F159" s="492">
        <f t="shared" si="173"/>
        <v>0</v>
      </c>
      <c r="G159" s="833"/>
      <c r="H159" s="836"/>
      <c r="I159" s="836"/>
      <c r="J159" s="808"/>
      <c r="K159" s="840"/>
      <c r="L159" s="427"/>
      <c r="M159" s="427"/>
      <c r="N159" s="427"/>
      <c r="O159" s="493">
        <f t="shared" ref="O159:R159" si="179">O85</f>
        <v>0</v>
      </c>
      <c r="P159" s="494" t="str">
        <f t="shared" si="179"/>
        <v>Set 1 24h</v>
      </c>
      <c r="Q159" s="494" t="str">
        <f t="shared" si="179"/>
        <v>MDA5</v>
      </c>
      <c r="R159" s="494">
        <f t="shared" si="179"/>
        <v>25.425134816999254</v>
      </c>
      <c r="S159" s="833"/>
      <c r="T159" s="836"/>
      <c r="U159" s="808"/>
      <c r="V159" s="840"/>
      <c r="W159" s="428"/>
      <c r="X159" s="428"/>
      <c r="Y159" s="428"/>
      <c r="Z159" s="493">
        <f t="shared" ref="Z159:AC159" si="180">Z85</f>
        <v>0</v>
      </c>
      <c r="AA159" s="494" t="str">
        <f t="shared" si="180"/>
        <v>Set 2 24h</v>
      </c>
      <c r="AB159" s="494" t="str">
        <f t="shared" si="180"/>
        <v>MDA5</v>
      </c>
      <c r="AC159" s="494">
        <f t="shared" si="180"/>
        <v>24.375421999502592</v>
      </c>
      <c r="AD159" s="833"/>
      <c r="AE159" s="836"/>
      <c r="AF159" s="808"/>
      <c r="AG159" s="840"/>
      <c r="AH159" s="428"/>
      <c r="AI159" s="428"/>
      <c r="AJ159" s="428"/>
      <c r="AK159" s="493">
        <f t="shared" ref="AK159:AN159" si="181">AK85</f>
        <v>0</v>
      </c>
      <c r="AL159" s="494" t="str">
        <f t="shared" si="181"/>
        <v>Set 4 24h</v>
      </c>
      <c r="AM159" s="494" t="str">
        <f t="shared" si="181"/>
        <v>MDA5</v>
      </c>
      <c r="AN159" s="494">
        <f t="shared" si="181"/>
        <v>30.830580238035168</v>
      </c>
      <c r="AO159" s="833"/>
      <c r="AP159" s="836"/>
      <c r="AQ159" s="808"/>
      <c r="AR159" s="840"/>
      <c r="AS159" s="428"/>
      <c r="AT159" s="428"/>
      <c r="AU159" s="428"/>
      <c r="AV159" s="493">
        <f t="shared" ref="AV159:AY159" si="182">AV85</f>
        <v>0</v>
      </c>
      <c r="AW159" s="494" t="str">
        <f t="shared" si="182"/>
        <v>Set 5 24h</v>
      </c>
      <c r="AX159" s="494" t="str">
        <f t="shared" si="182"/>
        <v>MDA5</v>
      </c>
      <c r="AY159" s="494">
        <f t="shared" si="182"/>
        <v>30.672231529090681</v>
      </c>
      <c r="AZ159" s="833"/>
      <c r="BA159" s="836"/>
      <c r="BB159" s="808"/>
      <c r="BC159" s="840"/>
      <c r="BD159" s="428"/>
      <c r="BE159" s="428"/>
      <c r="BF159" s="428"/>
      <c r="BG159" s="493">
        <f t="shared" ref="BG159:BJ159" si="183">BG85</f>
        <v>0</v>
      </c>
      <c r="BH159" s="494" t="str">
        <f t="shared" si="183"/>
        <v>GFP 24h</v>
      </c>
      <c r="BI159" s="494" t="str">
        <f t="shared" si="183"/>
        <v>MDA5</v>
      </c>
      <c r="BJ159" s="494">
        <f t="shared" si="183"/>
        <v>22.325371201957729</v>
      </c>
      <c r="BK159" s="833"/>
      <c r="BL159" s="836"/>
      <c r="BM159" s="808"/>
      <c r="BN159" s="840"/>
    </row>
    <row r="160" spans="1:66">
      <c r="A160" s="830"/>
      <c r="B160" s="830"/>
      <c r="C160" s="493">
        <f t="shared" si="173"/>
        <v>0</v>
      </c>
      <c r="D160" s="494" t="str">
        <f t="shared" si="173"/>
        <v>WT 24h</v>
      </c>
      <c r="E160" s="494" t="str">
        <f t="shared" si="173"/>
        <v>MDA5</v>
      </c>
      <c r="F160" s="495">
        <f t="shared" si="173"/>
        <v>25.60245952452653</v>
      </c>
      <c r="G160" s="834"/>
      <c r="H160" s="837"/>
      <c r="I160" s="836"/>
      <c r="J160" s="809"/>
      <c r="K160" s="841"/>
      <c r="L160" s="427"/>
      <c r="M160" s="427"/>
      <c r="N160" s="427"/>
      <c r="O160" s="493">
        <f t="shared" ref="O160:R160" si="184">O86</f>
        <v>0</v>
      </c>
      <c r="P160" s="494" t="str">
        <f t="shared" si="184"/>
        <v>Set 1 24h</v>
      </c>
      <c r="Q160" s="494" t="str">
        <f t="shared" si="184"/>
        <v>MDA5</v>
      </c>
      <c r="R160" s="494">
        <f t="shared" si="184"/>
        <v>25.991975832945592</v>
      </c>
      <c r="S160" s="834"/>
      <c r="T160" s="837"/>
      <c r="U160" s="809"/>
      <c r="V160" s="841"/>
      <c r="W160" s="428"/>
      <c r="X160" s="428"/>
      <c r="Y160" s="428"/>
      <c r="Z160" s="493">
        <f t="shared" ref="Z160:AC160" si="185">Z86</f>
        <v>0</v>
      </c>
      <c r="AA160" s="494" t="str">
        <f t="shared" si="185"/>
        <v>Set 2 24h</v>
      </c>
      <c r="AB160" s="494" t="str">
        <f t="shared" si="185"/>
        <v>MDA5</v>
      </c>
      <c r="AC160" s="494">
        <f t="shared" si="185"/>
        <v>24.61605952049505</v>
      </c>
      <c r="AD160" s="834"/>
      <c r="AE160" s="837"/>
      <c r="AF160" s="809"/>
      <c r="AG160" s="841"/>
      <c r="AH160" s="428"/>
      <c r="AI160" s="428"/>
      <c r="AJ160" s="428"/>
      <c r="AK160" s="493">
        <f t="shared" ref="AK160:AN160" si="186">AK86</f>
        <v>0</v>
      </c>
      <c r="AL160" s="494" t="str">
        <f t="shared" si="186"/>
        <v>Set 4 24h</v>
      </c>
      <c r="AM160" s="494" t="str">
        <f t="shared" si="186"/>
        <v>MDA5</v>
      </c>
      <c r="AN160" s="494">
        <f t="shared" si="186"/>
        <v>30.786107724082292</v>
      </c>
      <c r="AO160" s="834"/>
      <c r="AP160" s="837"/>
      <c r="AQ160" s="809"/>
      <c r="AR160" s="841"/>
      <c r="AS160" s="428"/>
      <c r="AT160" s="428"/>
      <c r="AU160" s="428"/>
      <c r="AV160" s="493">
        <f t="shared" ref="AV160:AY160" si="187">AV86</f>
        <v>0</v>
      </c>
      <c r="AW160" s="494" t="str">
        <f t="shared" si="187"/>
        <v>Set 5 24h</v>
      </c>
      <c r="AX160" s="494" t="str">
        <f t="shared" si="187"/>
        <v>MDA5</v>
      </c>
      <c r="AY160" s="494">
        <f t="shared" si="187"/>
        <v>30.672285472956652</v>
      </c>
      <c r="AZ160" s="834"/>
      <c r="BA160" s="837"/>
      <c r="BB160" s="809"/>
      <c r="BC160" s="841"/>
      <c r="BD160" s="428"/>
      <c r="BE160" s="428"/>
      <c r="BF160" s="428"/>
      <c r="BG160" s="493">
        <f t="shared" ref="BG160:BJ160" si="188">BG86</f>
        <v>0</v>
      </c>
      <c r="BH160" s="494" t="str">
        <f>BH86</f>
        <v>GFP 24h</v>
      </c>
      <c r="BI160" s="494" t="str">
        <f t="shared" si="188"/>
        <v>MDA5</v>
      </c>
      <c r="BJ160" s="494">
        <f t="shared" si="188"/>
        <v>22.777678259313817</v>
      </c>
      <c r="BK160" s="834"/>
      <c r="BL160" s="837"/>
      <c r="BM160" s="809"/>
      <c r="BN160" s="841"/>
    </row>
    <row r="161" spans="1:66">
      <c r="A161" s="830"/>
      <c r="B161" s="830"/>
      <c r="C161" s="484">
        <f t="shared" si="173"/>
        <v>0</v>
      </c>
      <c r="D161" s="485" t="str">
        <f t="shared" si="173"/>
        <v>WT 24h</v>
      </c>
      <c r="E161" s="485" t="str">
        <f t="shared" si="173"/>
        <v>MDA5</v>
      </c>
      <c r="F161" s="486">
        <f t="shared" si="173"/>
        <v>0</v>
      </c>
      <c r="G161" s="833">
        <f>G87</f>
        <v>26.122268364499185</v>
      </c>
      <c r="H161" s="843">
        <f>H87</f>
        <v>5.516033565685543</v>
      </c>
      <c r="I161" s="836"/>
      <c r="J161" s="808">
        <f>J87</f>
        <v>0.25687235417325383</v>
      </c>
      <c r="K161" s="840">
        <f>K87</f>
        <v>0.83690028612303802</v>
      </c>
      <c r="L161" s="427"/>
      <c r="M161" s="427"/>
      <c r="N161" s="427"/>
      <c r="O161" s="487">
        <f t="shared" ref="O161:R161" si="189">O87</f>
        <v>0</v>
      </c>
      <c r="P161" s="488" t="str">
        <f t="shared" si="189"/>
        <v>Set 1 24h</v>
      </c>
      <c r="Q161" s="488" t="str">
        <f t="shared" si="189"/>
        <v>MDA5</v>
      </c>
      <c r="R161" s="488">
        <f t="shared" si="189"/>
        <v>29.20671674901638</v>
      </c>
      <c r="S161" s="833">
        <f>S87</f>
        <v>28.567146345540337</v>
      </c>
      <c r="T161" s="843">
        <f>T87</f>
        <v>9.3253291819242143</v>
      </c>
      <c r="U161" s="808">
        <f>U87</f>
        <v>4.0661679704119251</v>
      </c>
      <c r="V161" s="840">
        <f>V87</f>
        <v>5.9698232560464519E-2</v>
      </c>
      <c r="W161" s="428"/>
      <c r="X161" s="428"/>
      <c r="Y161" s="428"/>
      <c r="Z161" s="487">
        <f t="shared" ref="Z161:AC161" si="190">Z87</f>
        <v>0</v>
      </c>
      <c r="AA161" s="488" t="str">
        <f t="shared" si="190"/>
        <v>Set 2 24h</v>
      </c>
      <c r="AB161" s="488" t="str">
        <f t="shared" si="190"/>
        <v>MDA5</v>
      </c>
      <c r="AC161" s="488">
        <f t="shared" si="190"/>
        <v>26.84261036328391</v>
      </c>
      <c r="AD161" s="833">
        <f>AD87</f>
        <v>26.508434122316043</v>
      </c>
      <c r="AE161" s="843">
        <f>AE87</f>
        <v>7.2446795238892783</v>
      </c>
      <c r="AF161" s="808">
        <f>AF87</f>
        <v>1.9855183123769891</v>
      </c>
      <c r="AG161" s="840">
        <f>AG87</f>
        <v>0.25252212251741291</v>
      </c>
      <c r="AH161" s="428"/>
      <c r="AI161" s="428"/>
      <c r="AJ161" s="428"/>
      <c r="AK161" s="487">
        <f t="shared" ref="AK161:AN161" si="191">AK87</f>
        <v>0</v>
      </c>
      <c r="AL161" s="488" t="str">
        <f t="shared" si="191"/>
        <v>Set 4 24h</v>
      </c>
      <c r="AM161" s="488" t="str">
        <f t="shared" si="191"/>
        <v>MDA5</v>
      </c>
      <c r="AN161" s="488">
        <f t="shared" si="191"/>
        <v>28.570491971225159</v>
      </c>
      <c r="AO161" s="833">
        <f>AO87</f>
        <v>29.420540429219344</v>
      </c>
      <c r="AP161" s="843">
        <f>AP87</f>
        <v>10.182782220221217</v>
      </c>
      <c r="AQ161" s="808">
        <f>AQ87</f>
        <v>4.9236210087089276</v>
      </c>
      <c r="AR161" s="840">
        <f>AR87</f>
        <v>3.2949011439087919E-2</v>
      </c>
      <c r="AS161" s="428"/>
      <c r="AT161" s="428"/>
      <c r="AU161" s="428"/>
      <c r="AV161" s="487">
        <f t="shared" ref="AV161:AY161" si="192">AV87</f>
        <v>0</v>
      </c>
      <c r="AW161" s="488" t="str">
        <f t="shared" si="192"/>
        <v>Set 5 24h</v>
      </c>
      <c r="AX161" s="488" t="str">
        <f t="shared" si="192"/>
        <v>MDA5</v>
      </c>
      <c r="AY161" s="488">
        <f t="shared" si="192"/>
        <v>30.291093708840528</v>
      </c>
      <c r="AZ161" s="833">
        <f>AZ87</f>
        <v>29.719586717383212</v>
      </c>
      <c r="BA161" s="843">
        <f>BA87</f>
        <v>10.481828508385085</v>
      </c>
      <c r="BB161" s="808">
        <f>BB87</f>
        <v>5.2226672968727961</v>
      </c>
      <c r="BC161" s="840">
        <f>BC87</f>
        <v>2.6780611311067268E-2</v>
      </c>
      <c r="BD161" s="428"/>
      <c r="BE161" s="428"/>
      <c r="BF161" s="428"/>
      <c r="BG161" s="487">
        <f t="shared" ref="BG161:BJ161" si="193">BG87</f>
        <v>0</v>
      </c>
      <c r="BH161" s="488" t="str">
        <f t="shared" si="193"/>
        <v>GFP 24h</v>
      </c>
      <c r="BI161" s="488" t="str">
        <f t="shared" si="193"/>
        <v>MDA5</v>
      </c>
      <c r="BJ161" s="488">
        <f t="shared" si="193"/>
        <v>22.986041702121796</v>
      </c>
      <c r="BK161" s="833">
        <f>BK87</f>
        <v>22.692327967527</v>
      </c>
      <c r="BL161" s="843">
        <f>BL87</f>
        <v>4.1217063138817132</v>
      </c>
      <c r="BM161" s="808">
        <f>BM87</f>
        <v>-1.1374548976305761</v>
      </c>
      <c r="BN161" s="840">
        <f>BN87</f>
        <v>2.1999258501230425</v>
      </c>
    </row>
    <row r="162" spans="1:66">
      <c r="A162" s="830"/>
      <c r="B162" s="830"/>
      <c r="C162" s="484">
        <f t="shared" si="173"/>
        <v>0</v>
      </c>
      <c r="D162" s="485" t="str">
        <f t="shared" si="173"/>
        <v>WT 24h</v>
      </c>
      <c r="E162" s="485" t="str">
        <f t="shared" si="173"/>
        <v>MDA5</v>
      </c>
      <c r="F162" s="486">
        <f t="shared" si="173"/>
        <v>0</v>
      </c>
      <c r="G162" s="833"/>
      <c r="H162" s="836"/>
      <c r="I162" s="836"/>
      <c r="J162" s="808"/>
      <c r="K162" s="840"/>
      <c r="L162" s="427"/>
      <c r="M162" s="427"/>
      <c r="N162" s="427"/>
      <c r="O162" s="487">
        <f t="shared" ref="O162:R162" si="194">O88</f>
        <v>0</v>
      </c>
      <c r="P162" s="488" t="str">
        <f t="shared" si="194"/>
        <v>Set 1 24h</v>
      </c>
      <c r="Q162" s="488" t="str">
        <f t="shared" si="194"/>
        <v>MDA5</v>
      </c>
      <c r="R162" s="488">
        <f t="shared" si="194"/>
        <v>27.945673124974263</v>
      </c>
      <c r="S162" s="833"/>
      <c r="T162" s="836"/>
      <c r="U162" s="808"/>
      <c r="V162" s="840"/>
      <c r="W162" s="428"/>
      <c r="X162" s="428"/>
      <c r="Y162" s="428"/>
      <c r="Z162" s="487">
        <f t="shared" ref="Z162:AC162" si="195">Z88</f>
        <v>0</v>
      </c>
      <c r="AA162" s="488" t="str">
        <f t="shared" si="195"/>
        <v>Set 2 24h</v>
      </c>
      <c r="AB162" s="488" t="str">
        <f t="shared" si="195"/>
        <v>MDA5</v>
      </c>
      <c r="AC162" s="488">
        <f t="shared" si="195"/>
        <v>25.873819112228681</v>
      </c>
      <c r="AD162" s="833"/>
      <c r="AE162" s="836"/>
      <c r="AF162" s="808"/>
      <c r="AG162" s="840"/>
      <c r="AH162" s="428"/>
      <c r="AI162" s="428"/>
      <c r="AJ162" s="428"/>
      <c r="AK162" s="487">
        <f t="shared" ref="AK162:AN162" si="196">AK88</f>
        <v>0</v>
      </c>
      <c r="AL162" s="488" t="str">
        <f t="shared" si="196"/>
        <v>Set 4 24h</v>
      </c>
      <c r="AM162" s="488" t="str">
        <f t="shared" si="196"/>
        <v>MDA5</v>
      </c>
      <c r="AN162" s="488">
        <f t="shared" si="196"/>
        <v>29.724100150168006</v>
      </c>
      <c r="AO162" s="833"/>
      <c r="AP162" s="836"/>
      <c r="AQ162" s="808"/>
      <c r="AR162" s="840"/>
      <c r="AS162" s="428"/>
      <c r="AT162" s="428"/>
      <c r="AU162" s="428"/>
      <c r="AV162" s="487">
        <f t="shared" ref="AV162:AY162" si="197">AV88</f>
        <v>0</v>
      </c>
      <c r="AW162" s="488" t="str">
        <f t="shared" si="197"/>
        <v>Set 5 24h</v>
      </c>
      <c r="AX162" s="488" t="str">
        <f t="shared" si="197"/>
        <v>MDA5</v>
      </c>
      <c r="AY162" s="488">
        <f t="shared" si="197"/>
        <v>29.652842760732369</v>
      </c>
      <c r="AZ162" s="833"/>
      <c r="BA162" s="836"/>
      <c r="BB162" s="808"/>
      <c r="BC162" s="840"/>
      <c r="BD162" s="428"/>
      <c r="BE162" s="428"/>
      <c r="BF162" s="428"/>
      <c r="BG162" s="487">
        <f t="shared" ref="BG162:BJ162" si="198">BG88</f>
        <v>0</v>
      </c>
      <c r="BH162" s="488" t="str">
        <f t="shared" si="198"/>
        <v>GFP 24h</v>
      </c>
      <c r="BI162" s="488" t="str">
        <f t="shared" si="198"/>
        <v>MDA5</v>
      </c>
      <c r="BJ162" s="488">
        <f t="shared" si="198"/>
        <v>0</v>
      </c>
      <c r="BK162" s="833"/>
      <c r="BL162" s="836"/>
      <c r="BM162" s="808"/>
      <c r="BN162" s="840"/>
    </row>
    <row r="163" spans="1:66" ht="16.2" thickBot="1">
      <c r="A163" s="831"/>
      <c r="B163" s="831"/>
      <c r="C163" s="496">
        <f t="shared" si="173"/>
        <v>0</v>
      </c>
      <c r="D163" s="497" t="str">
        <f t="shared" si="173"/>
        <v>WT 24h</v>
      </c>
      <c r="E163" s="497" t="str">
        <f t="shared" si="173"/>
        <v>MDA5</v>
      </c>
      <c r="F163" s="498">
        <f t="shared" si="173"/>
        <v>26.122268364499185</v>
      </c>
      <c r="G163" s="846"/>
      <c r="H163" s="838"/>
      <c r="I163" s="838"/>
      <c r="J163" s="847"/>
      <c r="K163" s="848"/>
      <c r="L163" s="427"/>
      <c r="M163" s="427"/>
      <c r="N163" s="427"/>
      <c r="O163" s="496">
        <f t="shared" ref="O163:R163" si="199">O89</f>
        <v>0</v>
      </c>
      <c r="P163" s="497" t="str">
        <f t="shared" si="199"/>
        <v>Set 1 24h</v>
      </c>
      <c r="Q163" s="497" t="str">
        <f t="shared" si="199"/>
        <v>MDA5</v>
      </c>
      <c r="R163" s="497">
        <f t="shared" si="199"/>
        <v>28.549049162630368</v>
      </c>
      <c r="S163" s="846"/>
      <c r="T163" s="838"/>
      <c r="U163" s="847"/>
      <c r="V163" s="848"/>
      <c r="W163" s="428"/>
      <c r="X163" s="428"/>
      <c r="Y163" s="428"/>
      <c r="Z163" s="496">
        <f t="shared" ref="Z163:AC163" si="200">Z89</f>
        <v>0</v>
      </c>
      <c r="AA163" s="497" t="str">
        <f t="shared" si="200"/>
        <v>Set 2 24h</v>
      </c>
      <c r="AB163" s="497" t="str">
        <f t="shared" si="200"/>
        <v>MDA5</v>
      </c>
      <c r="AC163" s="497">
        <f t="shared" si="200"/>
        <v>26.808872891435541</v>
      </c>
      <c r="AD163" s="846"/>
      <c r="AE163" s="838"/>
      <c r="AF163" s="847"/>
      <c r="AG163" s="848"/>
      <c r="AH163" s="428"/>
      <c r="AI163" s="428"/>
      <c r="AJ163" s="428"/>
      <c r="AK163" s="496">
        <f t="shared" ref="AK163:AN163" si="201">AK89</f>
        <v>0</v>
      </c>
      <c r="AL163" s="497" t="str">
        <f t="shared" si="201"/>
        <v>Set 4 24h</v>
      </c>
      <c r="AM163" s="497" t="str">
        <f t="shared" si="201"/>
        <v>MDA5</v>
      </c>
      <c r="AN163" s="497">
        <f t="shared" si="201"/>
        <v>29.967029166264865</v>
      </c>
      <c r="AO163" s="846"/>
      <c r="AP163" s="838"/>
      <c r="AQ163" s="847"/>
      <c r="AR163" s="848"/>
      <c r="AS163" s="428"/>
      <c r="AT163" s="428"/>
      <c r="AU163" s="428"/>
      <c r="AV163" s="496">
        <f t="shared" ref="AV163:AY163" si="202">AV89</f>
        <v>0</v>
      </c>
      <c r="AW163" s="497" t="str">
        <f t="shared" si="202"/>
        <v>Set 5 24h</v>
      </c>
      <c r="AX163" s="497" t="str">
        <f t="shared" si="202"/>
        <v>MDA5</v>
      </c>
      <c r="AY163" s="497">
        <f t="shared" si="202"/>
        <v>29.214823682576743</v>
      </c>
      <c r="AZ163" s="846"/>
      <c r="BA163" s="838"/>
      <c r="BB163" s="847"/>
      <c r="BC163" s="848"/>
      <c r="BD163" s="428"/>
      <c r="BE163" s="428"/>
      <c r="BF163" s="428"/>
      <c r="BG163" s="496">
        <f t="shared" ref="BG163:BJ163" si="203">BG89</f>
        <v>0</v>
      </c>
      <c r="BH163" s="497" t="str">
        <f t="shared" si="203"/>
        <v>GFP 24h</v>
      </c>
      <c r="BI163" s="497" t="str">
        <f t="shared" si="203"/>
        <v>MDA5</v>
      </c>
      <c r="BJ163" s="497">
        <f t="shared" si="203"/>
        <v>22.398614232932204</v>
      </c>
      <c r="BK163" s="846"/>
      <c r="BL163" s="838"/>
      <c r="BM163" s="847"/>
      <c r="BN163" s="848"/>
    </row>
    <row r="165" spans="1:66" ht="16.2" thickBot="1"/>
    <row r="166" spans="1:66" ht="16.2" thickBot="1">
      <c r="A166" s="852" t="s">
        <v>15</v>
      </c>
      <c r="B166" s="852" t="str">
        <f>E90</f>
        <v>IFIT</v>
      </c>
      <c r="C166" s="826" t="str">
        <f>C43</f>
        <v>WT 24h</v>
      </c>
      <c r="D166" s="827"/>
      <c r="E166" s="827"/>
      <c r="F166" s="827"/>
      <c r="G166" s="827"/>
      <c r="H166" s="827"/>
      <c r="I166" s="827"/>
      <c r="J166" s="827"/>
      <c r="K166" s="828"/>
      <c r="L166" s="427"/>
      <c r="M166" s="427"/>
      <c r="N166" s="427"/>
      <c r="O166" s="826" t="str">
        <f>O43</f>
        <v>Set 1 24h</v>
      </c>
      <c r="P166" s="827"/>
      <c r="Q166" s="827"/>
      <c r="R166" s="827"/>
      <c r="S166" s="827"/>
      <c r="T166" s="827"/>
      <c r="U166" s="827"/>
      <c r="V166" s="828"/>
      <c r="W166" s="428"/>
      <c r="X166" s="428"/>
      <c r="Y166" s="428"/>
      <c r="Z166" s="826" t="str">
        <f>Z43</f>
        <v>Set 2 24h</v>
      </c>
      <c r="AA166" s="827"/>
      <c r="AB166" s="827"/>
      <c r="AC166" s="827"/>
      <c r="AD166" s="827"/>
      <c r="AE166" s="827"/>
      <c r="AF166" s="827"/>
      <c r="AG166" s="828"/>
      <c r="AH166" s="428"/>
      <c r="AI166" s="428"/>
      <c r="AJ166" s="428"/>
      <c r="AK166" s="826" t="str">
        <f>AK43</f>
        <v>Set 4 24h</v>
      </c>
      <c r="AL166" s="827"/>
      <c r="AM166" s="827"/>
      <c r="AN166" s="827"/>
      <c r="AO166" s="827"/>
      <c r="AP166" s="827"/>
      <c r="AQ166" s="827"/>
      <c r="AR166" s="828"/>
      <c r="AS166" s="428"/>
      <c r="AT166" s="428"/>
      <c r="AU166" s="428"/>
      <c r="AV166" s="826" t="str">
        <f>AX3</f>
        <v>Set 5 24h</v>
      </c>
      <c r="AW166" s="827"/>
      <c r="AX166" s="827"/>
      <c r="AY166" s="827"/>
      <c r="AZ166" s="827"/>
      <c r="BA166" s="827"/>
      <c r="BB166" s="827"/>
      <c r="BC166" s="828"/>
      <c r="BD166" s="428"/>
      <c r="BE166" s="428"/>
      <c r="BF166" s="428"/>
      <c r="BG166" s="826" t="str">
        <f>BI3</f>
        <v>GFP 24h</v>
      </c>
      <c r="BH166" s="827"/>
      <c r="BI166" s="827"/>
      <c r="BJ166" s="827"/>
      <c r="BK166" s="827"/>
      <c r="BL166" s="827"/>
      <c r="BM166" s="827"/>
      <c r="BN166" s="828"/>
    </row>
    <row r="167" spans="1:66" ht="16.2">
      <c r="A167" s="853"/>
      <c r="B167" s="853"/>
      <c r="C167" s="465" t="s">
        <v>0</v>
      </c>
      <c r="D167" s="466" t="s">
        <v>1</v>
      </c>
      <c r="E167" s="466" t="s">
        <v>2</v>
      </c>
      <c r="F167" s="467" t="s">
        <v>3</v>
      </c>
      <c r="G167" s="468" t="s">
        <v>4</v>
      </c>
      <c r="H167" s="469" t="s">
        <v>5</v>
      </c>
      <c r="I167" s="469" t="s">
        <v>6</v>
      </c>
      <c r="J167" s="470" t="s">
        <v>7</v>
      </c>
      <c r="K167" s="471" t="s">
        <v>26</v>
      </c>
      <c r="L167" s="427"/>
      <c r="M167" s="427"/>
      <c r="N167" s="427"/>
      <c r="O167" s="465" t="s">
        <v>0</v>
      </c>
      <c r="P167" s="466" t="s">
        <v>1</v>
      </c>
      <c r="Q167" s="466" t="s">
        <v>2</v>
      </c>
      <c r="R167" s="472" t="s">
        <v>3</v>
      </c>
      <c r="S167" s="473" t="s">
        <v>4</v>
      </c>
      <c r="T167" s="483" t="s">
        <v>5</v>
      </c>
      <c r="U167" s="470" t="s">
        <v>7</v>
      </c>
      <c r="V167" s="471" t="s">
        <v>26</v>
      </c>
      <c r="W167" s="428"/>
      <c r="X167" s="428"/>
      <c r="Y167" s="428"/>
      <c r="Z167" s="465" t="s">
        <v>0</v>
      </c>
      <c r="AA167" s="466" t="s">
        <v>1</v>
      </c>
      <c r="AB167" s="466" t="s">
        <v>2</v>
      </c>
      <c r="AC167" s="472" t="s">
        <v>3</v>
      </c>
      <c r="AD167" s="473" t="s">
        <v>4</v>
      </c>
      <c r="AE167" s="483" t="s">
        <v>5</v>
      </c>
      <c r="AF167" s="470" t="s">
        <v>7</v>
      </c>
      <c r="AG167" s="471" t="s">
        <v>26</v>
      </c>
      <c r="AH167" s="428"/>
      <c r="AI167" s="428"/>
      <c r="AJ167" s="428"/>
      <c r="AK167" s="465" t="s">
        <v>0</v>
      </c>
      <c r="AL167" s="466" t="s">
        <v>1</v>
      </c>
      <c r="AM167" s="466" t="s">
        <v>2</v>
      </c>
      <c r="AN167" s="472" t="s">
        <v>3</v>
      </c>
      <c r="AO167" s="473" t="s">
        <v>4</v>
      </c>
      <c r="AP167" s="483" t="s">
        <v>5</v>
      </c>
      <c r="AQ167" s="470" t="s">
        <v>7</v>
      </c>
      <c r="AR167" s="471" t="s">
        <v>26</v>
      </c>
      <c r="AS167" s="428"/>
      <c r="AT167" s="428"/>
      <c r="AU167" s="428"/>
      <c r="AV167" s="465" t="s">
        <v>0</v>
      </c>
      <c r="AW167" s="466" t="s">
        <v>1</v>
      </c>
      <c r="AX167" s="466" t="s">
        <v>2</v>
      </c>
      <c r="AY167" s="472" t="s">
        <v>3</v>
      </c>
      <c r="AZ167" s="473" t="s">
        <v>4</v>
      </c>
      <c r="BA167" s="483" t="s">
        <v>5</v>
      </c>
      <c r="BB167" s="470" t="s">
        <v>7</v>
      </c>
      <c r="BC167" s="471" t="s">
        <v>26</v>
      </c>
      <c r="BD167" s="428"/>
      <c r="BE167" s="428"/>
      <c r="BF167" s="428"/>
      <c r="BG167" s="465" t="s">
        <v>0</v>
      </c>
      <c r="BH167" s="466" t="s">
        <v>1</v>
      </c>
      <c r="BI167" s="466" t="s">
        <v>2</v>
      </c>
      <c r="BJ167" s="472" t="s">
        <v>3</v>
      </c>
      <c r="BK167" s="473" t="s">
        <v>4</v>
      </c>
      <c r="BL167" s="483" t="s">
        <v>5</v>
      </c>
      <c r="BM167" s="470" t="s">
        <v>7</v>
      </c>
      <c r="BN167" s="471" t="s">
        <v>26</v>
      </c>
    </row>
    <row r="168" spans="1:66">
      <c r="A168" s="853"/>
      <c r="B168" s="853"/>
      <c r="C168" s="451">
        <f>C90</f>
        <v>0</v>
      </c>
      <c r="D168" s="452" t="str">
        <f>D90</f>
        <v>WT 24h</v>
      </c>
      <c r="E168" s="452" t="str">
        <f t="shared" ref="E168:F168" si="204">E90</f>
        <v>IFIT</v>
      </c>
      <c r="F168" s="452">
        <f t="shared" si="204"/>
        <v>25.8768015705447</v>
      </c>
      <c r="G168" s="855">
        <f>G90</f>
        <v>25.8768015705447</v>
      </c>
      <c r="H168" s="858">
        <f>H90</f>
        <v>5.4052285522776948</v>
      </c>
      <c r="I168" s="859">
        <f>I90</f>
        <v>5.215401730673725</v>
      </c>
      <c r="J168" s="862">
        <f>J90</f>
        <v>0.1898268216039698</v>
      </c>
      <c r="K168" s="863">
        <f>K90</f>
        <v>0.87671095373194685</v>
      </c>
      <c r="L168" s="427"/>
      <c r="M168" s="427"/>
      <c r="N168" s="427"/>
      <c r="O168" s="451">
        <f t="shared" ref="O168:V168" si="205">O90</f>
        <v>0</v>
      </c>
      <c r="P168" s="452" t="str">
        <f t="shared" si="205"/>
        <v>Set 1 24h</v>
      </c>
      <c r="Q168" s="451" t="str">
        <f t="shared" si="205"/>
        <v>IFIT</v>
      </c>
      <c r="R168" s="452">
        <f t="shared" si="205"/>
        <v>26.521411306298006</v>
      </c>
      <c r="S168" s="855">
        <f t="shared" si="205"/>
        <v>26.8998495494961</v>
      </c>
      <c r="T168" s="858">
        <f t="shared" si="205"/>
        <v>7.3783762327834594</v>
      </c>
      <c r="U168" s="862">
        <f t="shared" si="205"/>
        <v>2.1629745021097344</v>
      </c>
      <c r="V168" s="863">
        <f t="shared" si="205"/>
        <v>0.22329540952965868</v>
      </c>
      <c r="W168" s="428"/>
      <c r="X168" s="428"/>
      <c r="Y168" s="428"/>
      <c r="Z168" s="451">
        <f t="shared" ref="Z168:AG168" si="206">Z90</f>
        <v>0</v>
      </c>
      <c r="AA168" s="452" t="str">
        <f t="shared" si="206"/>
        <v>Set 2 24h</v>
      </c>
      <c r="AB168" s="451" t="str">
        <f t="shared" si="206"/>
        <v>IFIT</v>
      </c>
      <c r="AC168" s="452">
        <f t="shared" si="206"/>
        <v>23.846902668387493</v>
      </c>
      <c r="AD168" s="855">
        <f t="shared" si="206"/>
        <v>23.720395402695868</v>
      </c>
      <c r="AE168" s="858">
        <f t="shared" si="206"/>
        <v>6.1907956227984045</v>
      </c>
      <c r="AF168" s="862">
        <f t="shared" si="206"/>
        <v>0.97539389212467942</v>
      </c>
      <c r="AG168" s="863">
        <f t="shared" si="206"/>
        <v>0.50860096620486972</v>
      </c>
      <c r="AH168" s="428"/>
      <c r="AI168" s="428"/>
      <c r="AJ168" s="428"/>
      <c r="AK168" s="451">
        <f t="shared" ref="AK168:AR168" si="207">AK90</f>
        <v>0</v>
      </c>
      <c r="AL168" s="452" t="str">
        <f t="shared" si="207"/>
        <v>Set 4 24h</v>
      </c>
      <c r="AM168" s="451" t="str">
        <f t="shared" si="207"/>
        <v>IFIT</v>
      </c>
      <c r="AN168" s="452">
        <f t="shared" si="207"/>
        <v>27.357216397548157</v>
      </c>
      <c r="AO168" s="855">
        <f t="shared" si="207"/>
        <v>26.776199832526832</v>
      </c>
      <c r="AP168" s="858">
        <f t="shared" si="207"/>
        <v>6.4078933077378082</v>
      </c>
      <c r="AQ168" s="862">
        <f t="shared" si="207"/>
        <v>1.1924915770640832</v>
      </c>
      <c r="AR168" s="863">
        <f t="shared" si="207"/>
        <v>0.43754655190818187</v>
      </c>
      <c r="AS168" s="428"/>
      <c r="AT168" s="428"/>
      <c r="AU168" s="428"/>
      <c r="AV168" s="451">
        <f t="shared" ref="AV168:BC168" si="208">AV90</f>
        <v>0</v>
      </c>
      <c r="AW168" s="452" t="str">
        <f t="shared" si="208"/>
        <v>Set 5 24h</v>
      </c>
      <c r="AX168" s="451" t="str">
        <f t="shared" si="208"/>
        <v>IFIT</v>
      </c>
      <c r="AY168" s="452">
        <f t="shared" si="208"/>
        <v>0</v>
      </c>
      <c r="AZ168" s="855">
        <f t="shared" si="208"/>
        <v>26.785990902067887</v>
      </c>
      <c r="BA168" s="858">
        <f t="shared" si="208"/>
        <v>6.4176843772788636</v>
      </c>
      <c r="BB168" s="862">
        <f t="shared" si="208"/>
        <v>1.2022826466051386</v>
      </c>
      <c r="BC168" s="863">
        <f t="shared" si="208"/>
        <v>0.4345871292635648</v>
      </c>
      <c r="BD168" s="428"/>
      <c r="BE168" s="428"/>
      <c r="BF168" s="428"/>
      <c r="BG168" s="451">
        <f t="shared" ref="BG168:BN168" si="209">BG90</f>
        <v>0</v>
      </c>
      <c r="BH168" s="452" t="str">
        <f t="shared" si="209"/>
        <v>GFP 24h</v>
      </c>
      <c r="BI168" s="451" t="str">
        <f t="shared" si="209"/>
        <v>IFIT</v>
      </c>
      <c r="BJ168" s="452">
        <f t="shared" si="209"/>
        <v>22.054781049411829</v>
      </c>
      <c r="BK168" s="855">
        <f t="shared" si="209"/>
        <v>22.054781049411829</v>
      </c>
      <c r="BL168" s="858">
        <f t="shared" si="209"/>
        <v>4.1626350301068236</v>
      </c>
      <c r="BM168" s="862">
        <f t="shared" si="209"/>
        <v>-1.0527667005669015</v>
      </c>
      <c r="BN168" s="863">
        <f t="shared" si="209"/>
        <v>2.0745043761510771</v>
      </c>
    </row>
    <row r="169" spans="1:66">
      <c r="A169" s="853"/>
      <c r="B169" s="853"/>
      <c r="C169" s="451">
        <f t="shared" ref="C169:F169" si="210">C91</f>
        <v>0</v>
      </c>
      <c r="D169" s="452" t="str">
        <f t="shared" si="210"/>
        <v>WT 24h</v>
      </c>
      <c r="E169" s="452" t="str">
        <f t="shared" si="210"/>
        <v>IFIT</v>
      </c>
      <c r="F169" s="452">
        <f t="shared" si="210"/>
        <v>0</v>
      </c>
      <c r="G169" s="856"/>
      <c r="H169" s="859"/>
      <c r="I169" s="859"/>
      <c r="J169" s="811"/>
      <c r="K169" s="850"/>
      <c r="L169" s="427"/>
      <c r="M169" s="427"/>
      <c r="N169" s="427"/>
      <c r="O169" s="451">
        <f t="shared" ref="O169:R169" si="211">O91</f>
        <v>0</v>
      </c>
      <c r="P169" s="452" t="str">
        <f t="shared" si="211"/>
        <v>Set 1 24h</v>
      </c>
      <c r="Q169" s="451" t="str">
        <f t="shared" si="211"/>
        <v>IFIT</v>
      </c>
      <c r="R169" s="452">
        <f t="shared" si="211"/>
        <v>27.16625338831777</v>
      </c>
      <c r="S169" s="856"/>
      <c r="T169" s="859"/>
      <c r="U169" s="811"/>
      <c r="V169" s="850"/>
      <c r="W169" s="428"/>
      <c r="X169" s="428"/>
      <c r="Y169" s="428"/>
      <c r="Z169" s="451">
        <f t="shared" ref="Z169:AC169" si="212">Z91</f>
        <v>0</v>
      </c>
      <c r="AA169" s="452" t="str">
        <f t="shared" si="212"/>
        <v>Set 2 24h</v>
      </c>
      <c r="AB169" s="451" t="str">
        <f t="shared" si="212"/>
        <v>IFIT</v>
      </c>
      <c r="AC169" s="452">
        <f t="shared" si="212"/>
        <v>23.546906613622951</v>
      </c>
      <c r="AD169" s="856"/>
      <c r="AE169" s="859"/>
      <c r="AF169" s="811"/>
      <c r="AG169" s="850"/>
      <c r="AH169" s="428"/>
      <c r="AI169" s="428"/>
      <c r="AJ169" s="428"/>
      <c r="AK169" s="451">
        <f t="shared" ref="AK169:AN169" si="213">AK91</f>
        <v>0</v>
      </c>
      <c r="AL169" s="452" t="str">
        <f t="shared" si="213"/>
        <v>Set 4 24h</v>
      </c>
      <c r="AM169" s="451" t="str">
        <f t="shared" si="213"/>
        <v>IFIT</v>
      </c>
      <c r="AN169" s="452">
        <f t="shared" si="213"/>
        <v>26.261475065338558</v>
      </c>
      <c r="AO169" s="856"/>
      <c r="AP169" s="859"/>
      <c r="AQ169" s="811"/>
      <c r="AR169" s="850"/>
      <c r="AS169" s="428"/>
      <c r="AT169" s="428"/>
      <c r="AU169" s="428"/>
      <c r="AV169" s="451">
        <f t="shared" ref="AV169:AY169" si="214">AV91</f>
        <v>0</v>
      </c>
      <c r="AW169" s="452" t="str">
        <f t="shared" si="214"/>
        <v>Set 5 24h</v>
      </c>
      <c r="AX169" s="451" t="str">
        <f t="shared" si="214"/>
        <v>IFIT</v>
      </c>
      <c r="AY169" s="452">
        <f t="shared" si="214"/>
        <v>0</v>
      </c>
      <c r="AZ169" s="856"/>
      <c r="BA169" s="859"/>
      <c r="BB169" s="811"/>
      <c r="BC169" s="850"/>
      <c r="BD169" s="428"/>
      <c r="BE169" s="428"/>
      <c r="BF169" s="428"/>
      <c r="BG169" s="451">
        <f t="shared" ref="BG169:BJ169" si="215">BG91</f>
        <v>0</v>
      </c>
      <c r="BH169" s="452" t="str">
        <f t="shared" si="215"/>
        <v>GFP 24h</v>
      </c>
      <c r="BI169" s="451" t="str">
        <f t="shared" si="215"/>
        <v>IFIT</v>
      </c>
      <c r="BJ169" s="452">
        <f t="shared" si="215"/>
        <v>0</v>
      </c>
      <c r="BK169" s="856"/>
      <c r="BL169" s="859"/>
      <c r="BM169" s="811"/>
      <c r="BN169" s="850"/>
    </row>
    <row r="170" spans="1:66">
      <c r="A170" s="853"/>
      <c r="B170" s="853"/>
      <c r="C170" s="451">
        <f t="shared" ref="C170:F170" si="216">C92</f>
        <v>0</v>
      </c>
      <c r="D170" s="452" t="str">
        <f t="shared" si="216"/>
        <v>WT 24h</v>
      </c>
      <c r="E170" s="452" t="str">
        <f t="shared" si="216"/>
        <v>IFIT</v>
      </c>
      <c r="F170" s="452">
        <f t="shared" si="216"/>
        <v>0</v>
      </c>
      <c r="G170" s="857"/>
      <c r="H170" s="860"/>
      <c r="I170" s="859"/>
      <c r="J170" s="812"/>
      <c r="K170" s="851"/>
      <c r="L170" s="427"/>
      <c r="M170" s="427"/>
      <c r="N170" s="427"/>
      <c r="O170" s="451">
        <f t="shared" ref="O170:R170" si="217">O92</f>
        <v>0</v>
      </c>
      <c r="P170" s="452" t="str">
        <f t="shared" si="217"/>
        <v>Set 1 24h</v>
      </c>
      <c r="Q170" s="451" t="str">
        <f t="shared" si="217"/>
        <v>IFIT</v>
      </c>
      <c r="R170" s="452">
        <f t="shared" si="217"/>
        <v>27.011883953872527</v>
      </c>
      <c r="S170" s="857"/>
      <c r="T170" s="860"/>
      <c r="U170" s="812"/>
      <c r="V170" s="851"/>
      <c r="W170" s="428"/>
      <c r="X170" s="428"/>
      <c r="Y170" s="428"/>
      <c r="Z170" s="451">
        <f t="shared" ref="Z170:AC170" si="218">Z92</f>
        <v>0</v>
      </c>
      <c r="AA170" s="452" t="str">
        <f t="shared" si="218"/>
        <v>Set 2 24h</v>
      </c>
      <c r="AB170" s="451" t="str">
        <f t="shared" si="218"/>
        <v>IFIT</v>
      </c>
      <c r="AC170" s="452">
        <f t="shared" si="218"/>
        <v>23.767376926077155</v>
      </c>
      <c r="AD170" s="857"/>
      <c r="AE170" s="860"/>
      <c r="AF170" s="812"/>
      <c r="AG170" s="851"/>
      <c r="AH170" s="428"/>
      <c r="AI170" s="428"/>
      <c r="AJ170" s="428"/>
      <c r="AK170" s="451">
        <f t="shared" ref="AK170:AN170" si="219">AK92</f>
        <v>0</v>
      </c>
      <c r="AL170" s="452" t="str">
        <f t="shared" si="219"/>
        <v>Set 4 24h</v>
      </c>
      <c r="AM170" s="451" t="str">
        <f t="shared" si="219"/>
        <v>IFIT</v>
      </c>
      <c r="AN170" s="452">
        <f t="shared" si="219"/>
        <v>26.709908034693782</v>
      </c>
      <c r="AO170" s="857"/>
      <c r="AP170" s="860"/>
      <c r="AQ170" s="812"/>
      <c r="AR170" s="851"/>
      <c r="AS170" s="428"/>
      <c r="AT170" s="428"/>
      <c r="AU170" s="428"/>
      <c r="AV170" s="451">
        <f t="shared" ref="AV170:AY170" si="220">AV92</f>
        <v>0</v>
      </c>
      <c r="AW170" s="452" t="str">
        <f t="shared" si="220"/>
        <v>Set 5 24h</v>
      </c>
      <c r="AX170" s="451" t="str">
        <f t="shared" si="220"/>
        <v>IFIT</v>
      </c>
      <c r="AY170" s="452">
        <f t="shared" si="220"/>
        <v>26.785990902067887</v>
      </c>
      <c r="AZ170" s="857"/>
      <c r="BA170" s="860"/>
      <c r="BB170" s="812"/>
      <c r="BC170" s="851"/>
      <c r="BD170" s="428"/>
      <c r="BE170" s="428"/>
      <c r="BF170" s="428"/>
      <c r="BG170" s="451">
        <f t="shared" ref="BG170:BJ170" si="221">BG92</f>
        <v>0</v>
      </c>
      <c r="BH170" s="452" t="str">
        <f t="shared" si="221"/>
        <v>GFP 24h</v>
      </c>
      <c r="BI170" s="451" t="str">
        <f t="shared" si="221"/>
        <v>IFIT</v>
      </c>
      <c r="BJ170" s="452">
        <f t="shared" si="221"/>
        <v>0</v>
      </c>
      <c r="BK170" s="857"/>
      <c r="BL170" s="860"/>
      <c r="BM170" s="812"/>
      <c r="BN170" s="851"/>
    </row>
    <row r="171" spans="1:66">
      <c r="A171" s="853"/>
      <c r="B171" s="853"/>
      <c r="C171" s="457">
        <f t="shared" ref="C171:F171" si="222">C93</f>
        <v>0</v>
      </c>
      <c r="D171" s="458" t="str">
        <f t="shared" si="222"/>
        <v>WT 24h</v>
      </c>
      <c r="E171" s="458" t="str">
        <f t="shared" si="222"/>
        <v>IFIT</v>
      </c>
      <c r="F171" s="458">
        <f t="shared" si="222"/>
        <v>0</v>
      </c>
      <c r="G171" s="872">
        <f>G93</f>
        <v>25.639205914697683</v>
      </c>
      <c r="H171" s="871">
        <f>H93</f>
        <v>4.9760952386652839</v>
      </c>
      <c r="I171" s="859"/>
      <c r="J171" s="810">
        <f>J93</f>
        <v>-0.23930649200844112</v>
      </c>
      <c r="K171" s="849">
        <f>K93</f>
        <v>1.1804250910127834</v>
      </c>
      <c r="L171" s="427"/>
      <c r="M171" s="427"/>
      <c r="N171" s="427"/>
      <c r="O171" s="457">
        <f t="shared" ref="O171:R171" si="223">O93</f>
        <v>0</v>
      </c>
      <c r="P171" s="458" t="str">
        <f t="shared" si="223"/>
        <v>Set 1 24h</v>
      </c>
      <c r="Q171" s="457" t="str">
        <f t="shared" si="223"/>
        <v>IFIT</v>
      </c>
      <c r="R171" s="458">
        <f t="shared" si="223"/>
        <v>0</v>
      </c>
      <c r="S171" s="872">
        <f>S93</f>
        <v>24.431160178792396</v>
      </c>
      <c r="T171" s="871">
        <f>T93</f>
        <v>6.7824509238397326</v>
      </c>
      <c r="U171" s="810">
        <f>U93</f>
        <v>1.5670491931660075</v>
      </c>
      <c r="V171" s="849">
        <f>V93</f>
        <v>0.33749798804287862</v>
      </c>
      <c r="W171" s="428"/>
      <c r="X171" s="428"/>
      <c r="Y171" s="428"/>
      <c r="Z171" s="457">
        <f t="shared" ref="Z171:AC171" si="224">Z93</f>
        <v>0</v>
      </c>
      <c r="AA171" s="458" t="str">
        <f t="shared" si="224"/>
        <v>Set 2 24h</v>
      </c>
      <c r="AB171" s="457" t="str">
        <f t="shared" si="224"/>
        <v>IFIT</v>
      </c>
      <c r="AC171" s="458">
        <f t="shared" si="224"/>
        <v>23.306254792792849</v>
      </c>
      <c r="AD171" s="872">
        <f>AD93</f>
        <v>23.496813762969865</v>
      </c>
      <c r="AE171" s="871">
        <f>AE93</f>
        <v>5.6380857079382167</v>
      </c>
      <c r="AF171" s="810">
        <f>AF93</f>
        <v>0.42268397726449169</v>
      </c>
      <c r="AG171" s="849">
        <f>AG93</f>
        <v>0.74603541470613477</v>
      </c>
      <c r="AH171" s="428"/>
      <c r="AI171" s="428"/>
      <c r="AJ171" s="428"/>
      <c r="AK171" s="457">
        <f t="shared" ref="AK171:AN171" si="225">AK93</f>
        <v>0</v>
      </c>
      <c r="AL171" s="458" t="str">
        <f t="shared" si="225"/>
        <v>Set 4 24h</v>
      </c>
      <c r="AM171" s="457" t="str">
        <f t="shared" si="225"/>
        <v>IFIT</v>
      </c>
      <c r="AN171" s="458">
        <f t="shared" si="225"/>
        <v>27.076705862023459</v>
      </c>
      <c r="AO171" s="872">
        <f>AO93</f>
        <v>27.389080636992947</v>
      </c>
      <c r="AP171" s="871">
        <f>AP93</f>
        <v>7.0682357737715726</v>
      </c>
      <c r="AQ171" s="810">
        <f>AQ93</f>
        <v>1.8528340430978476</v>
      </c>
      <c r="AR171" s="849">
        <f>AR93</f>
        <v>0.27684799082223627</v>
      </c>
      <c r="AS171" s="428"/>
      <c r="AT171" s="428"/>
      <c r="AU171" s="428"/>
      <c r="AV171" s="457">
        <f t="shared" ref="AV171:AY171" si="226">AV93</f>
        <v>0</v>
      </c>
      <c r="AW171" s="458" t="str">
        <f t="shared" si="226"/>
        <v>Set 5 24h</v>
      </c>
      <c r="AX171" s="457" t="str">
        <f t="shared" si="226"/>
        <v>IFIT</v>
      </c>
      <c r="AY171" s="458">
        <f t="shared" si="226"/>
        <v>27.851486717065264</v>
      </c>
      <c r="AZ171" s="872">
        <f>AZ93</f>
        <v>27.851486717065264</v>
      </c>
      <c r="BA171" s="871">
        <f>BA93</f>
        <v>7.5306418538438891</v>
      </c>
      <c r="BB171" s="810">
        <f>BB93</f>
        <v>2.315240123170164</v>
      </c>
      <c r="BC171" s="849">
        <f>BC93</f>
        <v>0.20092930208914486</v>
      </c>
      <c r="BD171" s="428"/>
      <c r="BE171" s="428"/>
      <c r="BF171" s="428"/>
      <c r="BG171" s="457">
        <f t="shared" ref="BG171:BJ171" si="227">BG93</f>
        <v>0</v>
      </c>
      <c r="BH171" s="458" t="str">
        <f t="shared" si="227"/>
        <v>GFP 24h</v>
      </c>
      <c r="BI171" s="457" t="str">
        <f t="shared" si="227"/>
        <v>IFIT</v>
      </c>
      <c r="BJ171" s="458">
        <f t="shared" si="227"/>
        <v>0</v>
      </c>
      <c r="BK171" s="872">
        <f>BK93</f>
        <v>22.596621095065622</v>
      </c>
      <c r="BL171" s="871">
        <f>BL93</f>
        <v>4.1341288931742532</v>
      </c>
      <c r="BM171" s="810">
        <f>BM93</f>
        <v>-1.0812728374994718</v>
      </c>
      <c r="BN171" s="849">
        <f>BN93</f>
        <v>2.1159020414820411</v>
      </c>
    </row>
    <row r="172" spans="1:66">
      <c r="A172" s="853"/>
      <c r="B172" s="853"/>
      <c r="C172" s="457">
        <f t="shared" ref="C172:F172" si="228">C94</f>
        <v>0</v>
      </c>
      <c r="D172" s="458" t="str">
        <f t="shared" si="228"/>
        <v>WT 24h</v>
      </c>
      <c r="E172" s="458" t="str">
        <f t="shared" si="228"/>
        <v>IFIT</v>
      </c>
      <c r="F172" s="458">
        <f t="shared" si="228"/>
        <v>0</v>
      </c>
      <c r="G172" s="856"/>
      <c r="H172" s="859"/>
      <c r="I172" s="859"/>
      <c r="J172" s="811"/>
      <c r="K172" s="850"/>
      <c r="L172" s="427"/>
      <c r="M172" s="427"/>
      <c r="N172" s="427"/>
      <c r="O172" s="457">
        <f t="shared" ref="O172:R172" si="229">O94</f>
        <v>0</v>
      </c>
      <c r="P172" s="458" t="str">
        <f t="shared" si="229"/>
        <v>Set 1 24h</v>
      </c>
      <c r="Q172" s="457" t="str">
        <f t="shared" si="229"/>
        <v>IFIT</v>
      </c>
      <c r="R172" s="458">
        <f t="shared" si="229"/>
        <v>24.431160178792396</v>
      </c>
      <c r="S172" s="856"/>
      <c r="T172" s="859"/>
      <c r="U172" s="811"/>
      <c r="V172" s="850"/>
      <c r="W172" s="428"/>
      <c r="X172" s="428"/>
      <c r="Y172" s="428"/>
      <c r="Z172" s="457">
        <f t="shared" ref="Z172:AC172" si="230">Z94</f>
        <v>0</v>
      </c>
      <c r="AA172" s="458" t="str">
        <f t="shared" si="230"/>
        <v>Set 2 24h</v>
      </c>
      <c r="AB172" s="457" t="str">
        <f t="shared" si="230"/>
        <v>IFIT</v>
      </c>
      <c r="AC172" s="458">
        <f t="shared" si="230"/>
        <v>23.911596915846374</v>
      </c>
      <c r="AD172" s="856"/>
      <c r="AE172" s="859"/>
      <c r="AF172" s="811"/>
      <c r="AG172" s="850"/>
      <c r="AH172" s="428"/>
      <c r="AI172" s="428"/>
      <c r="AJ172" s="428"/>
      <c r="AK172" s="457">
        <f t="shared" ref="AK172:AN172" si="231">AK94</f>
        <v>0</v>
      </c>
      <c r="AL172" s="458" t="str">
        <f t="shared" si="231"/>
        <v>Set 4 24h</v>
      </c>
      <c r="AM172" s="457" t="str">
        <f t="shared" si="231"/>
        <v>IFIT</v>
      </c>
      <c r="AN172" s="458">
        <f t="shared" si="231"/>
        <v>26.976094050042356</v>
      </c>
      <c r="AO172" s="856"/>
      <c r="AP172" s="859"/>
      <c r="AQ172" s="811"/>
      <c r="AR172" s="850"/>
      <c r="AS172" s="428"/>
      <c r="AT172" s="428"/>
      <c r="AU172" s="428"/>
      <c r="AV172" s="457">
        <f t="shared" ref="AV172:AY172" si="232">AV94</f>
        <v>0</v>
      </c>
      <c r="AW172" s="458" t="str">
        <f t="shared" si="232"/>
        <v>Set 5 24h</v>
      </c>
      <c r="AX172" s="457" t="str">
        <f t="shared" si="232"/>
        <v>IFIT</v>
      </c>
      <c r="AY172" s="458">
        <f t="shared" si="232"/>
        <v>0</v>
      </c>
      <c r="AZ172" s="856"/>
      <c r="BA172" s="859"/>
      <c r="BB172" s="811"/>
      <c r="BC172" s="850"/>
      <c r="BD172" s="428"/>
      <c r="BE172" s="428"/>
      <c r="BF172" s="428"/>
      <c r="BG172" s="457">
        <f t="shared" ref="BG172:BJ172" si="233">BG94</f>
        <v>0</v>
      </c>
      <c r="BH172" s="458" t="str">
        <f t="shared" si="233"/>
        <v>GFP 24h</v>
      </c>
      <c r="BI172" s="457" t="str">
        <f t="shared" si="233"/>
        <v>IFIT</v>
      </c>
      <c r="BJ172" s="458">
        <f t="shared" si="233"/>
        <v>22.983733139125782</v>
      </c>
      <c r="BK172" s="856"/>
      <c r="BL172" s="859"/>
      <c r="BM172" s="811"/>
      <c r="BN172" s="850"/>
    </row>
    <row r="173" spans="1:66">
      <c r="A173" s="853"/>
      <c r="B173" s="853"/>
      <c r="C173" s="457">
        <f t="shared" ref="C173:F173" si="234">C95</f>
        <v>0</v>
      </c>
      <c r="D173" s="458" t="str">
        <f t="shared" si="234"/>
        <v>WT 24h</v>
      </c>
      <c r="E173" s="458" t="str">
        <f t="shared" si="234"/>
        <v>IFIT</v>
      </c>
      <c r="F173" s="458">
        <f t="shared" si="234"/>
        <v>25.639205914697683</v>
      </c>
      <c r="G173" s="857"/>
      <c r="H173" s="860"/>
      <c r="I173" s="859"/>
      <c r="J173" s="812"/>
      <c r="K173" s="851"/>
      <c r="L173" s="427"/>
      <c r="M173" s="427"/>
      <c r="N173" s="427"/>
      <c r="O173" s="457">
        <f t="shared" ref="O173:R173" si="235">O95</f>
        <v>0</v>
      </c>
      <c r="P173" s="458" t="str">
        <f t="shared" si="235"/>
        <v>Set 1 24h</v>
      </c>
      <c r="Q173" s="457" t="str">
        <f t="shared" si="235"/>
        <v>IFIT</v>
      </c>
      <c r="R173" s="458">
        <f t="shared" si="235"/>
        <v>0</v>
      </c>
      <c r="S173" s="857"/>
      <c r="T173" s="860"/>
      <c r="U173" s="812"/>
      <c r="V173" s="851"/>
      <c r="W173" s="428"/>
      <c r="X173" s="428"/>
      <c r="Y173" s="428"/>
      <c r="Z173" s="457">
        <f t="shared" ref="Z173:AC173" si="236">Z95</f>
        <v>0</v>
      </c>
      <c r="AA173" s="458" t="str">
        <f t="shared" si="236"/>
        <v>Set 2 24h</v>
      </c>
      <c r="AB173" s="457" t="str">
        <f t="shared" si="236"/>
        <v>IFIT</v>
      </c>
      <c r="AC173" s="458">
        <f t="shared" si="236"/>
        <v>23.27258958027037</v>
      </c>
      <c r="AD173" s="857"/>
      <c r="AE173" s="860"/>
      <c r="AF173" s="812"/>
      <c r="AG173" s="851"/>
      <c r="AH173" s="428"/>
      <c r="AI173" s="428"/>
      <c r="AJ173" s="428"/>
      <c r="AK173" s="457">
        <f t="shared" ref="AK173:AN173" si="237">AK95</f>
        <v>0</v>
      </c>
      <c r="AL173" s="458" t="str">
        <f t="shared" si="237"/>
        <v>Set 4 24h</v>
      </c>
      <c r="AM173" s="457" t="str">
        <f t="shared" si="237"/>
        <v>IFIT</v>
      </c>
      <c r="AN173" s="458">
        <f t="shared" si="237"/>
        <v>28.114441998913037</v>
      </c>
      <c r="AO173" s="857"/>
      <c r="AP173" s="860"/>
      <c r="AQ173" s="812"/>
      <c r="AR173" s="851"/>
      <c r="AS173" s="428"/>
      <c r="AT173" s="428"/>
      <c r="AU173" s="428"/>
      <c r="AV173" s="457">
        <f t="shared" ref="AV173:AY173" si="238">AV95</f>
        <v>0</v>
      </c>
      <c r="AW173" s="458" t="str">
        <f t="shared" si="238"/>
        <v>Set 5 24h</v>
      </c>
      <c r="AX173" s="457" t="str">
        <f t="shared" si="238"/>
        <v>IFIT</v>
      </c>
      <c r="AY173" s="458">
        <f t="shared" si="238"/>
        <v>0</v>
      </c>
      <c r="AZ173" s="857"/>
      <c r="BA173" s="860"/>
      <c r="BB173" s="812"/>
      <c r="BC173" s="851"/>
      <c r="BD173" s="428"/>
      <c r="BE173" s="428"/>
      <c r="BF173" s="428"/>
      <c r="BG173" s="457">
        <f t="shared" ref="BG173:BJ173" si="239">BG95</f>
        <v>0</v>
      </c>
      <c r="BH173" s="458" t="str">
        <f t="shared" si="239"/>
        <v>GFP 24h</v>
      </c>
      <c r="BI173" s="457" t="str">
        <f t="shared" si="239"/>
        <v>IFIT</v>
      </c>
      <c r="BJ173" s="458">
        <f t="shared" si="239"/>
        <v>22.209509051005462</v>
      </c>
      <c r="BK173" s="857"/>
      <c r="BL173" s="860"/>
      <c r="BM173" s="812"/>
      <c r="BN173" s="851"/>
    </row>
    <row r="174" spans="1:66">
      <c r="A174" s="853"/>
      <c r="B174" s="853"/>
      <c r="C174" s="451">
        <f t="shared" ref="C174:F174" si="240">C96</f>
        <v>0</v>
      </c>
      <c r="D174" s="452" t="str">
        <f t="shared" si="240"/>
        <v>WT 24h</v>
      </c>
      <c r="E174" s="452" t="str">
        <f t="shared" si="240"/>
        <v>IFIT</v>
      </c>
      <c r="F174" s="452">
        <f t="shared" si="240"/>
        <v>0</v>
      </c>
      <c r="G174" s="856">
        <f>G96</f>
        <v>25.871116199891837</v>
      </c>
      <c r="H174" s="871">
        <f>H96</f>
        <v>5.2648814010781955</v>
      </c>
      <c r="I174" s="859"/>
      <c r="J174" s="811">
        <f>J96</f>
        <v>4.9479670404470433E-2</v>
      </c>
      <c r="K174" s="850">
        <f>K96</f>
        <v>0.96628477117497291</v>
      </c>
      <c r="L174" s="427"/>
      <c r="M174" s="427"/>
      <c r="N174" s="427"/>
      <c r="O174" s="451">
        <f t="shared" ref="O174:R174" si="241">O96</f>
        <v>0</v>
      </c>
      <c r="P174" s="452" t="str">
        <f t="shared" si="241"/>
        <v>Set 1 24h</v>
      </c>
      <c r="Q174" s="451" t="str">
        <f t="shared" si="241"/>
        <v>IFIT</v>
      </c>
      <c r="R174" s="452">
        <f t="shared" si="241"/>
        <v>0</v>
      </c>
      <c r="S174" s="856">
        <f>S96</f>
        <v>26.933037850697488</v>
      </c>
      <c r="T174" s="871">
        <f>T96</f>
        <v>7.6912206870813655</v>
      </c>
      <c r="U174" s="811">
        <f>U96</f>
        <v>2.4758189564076405</v>
      </c>
      <c r="V174" s="850">
        <f>V96</f>
        <v>0.17976462382717531</v>
      </c>
      <c r="W174" s="428"/>
      <c r="X174" s="428"/>
      <c r="Y174" s="428"/>
      <c r="Z174" s="451">
        <f t="shared" ref="Z174:AC174" si="242">Z96</f>
        <v>0</v>
      </c>
      <c r="AA174" s="452" t="str">
        <f t="shared" si="242"/>
        <v>Set 2 24h</v>
      </c>
      <c r="AB174" s="451" t="str">
        <f t="shared" si="242"/>
        <v>IFIT</v>
      </c>
      <c r="AC174" s="452">
        <f t="shared" si="242"/>
        <v>25.822628425841323</v>
      </c>
      <c r="AD174" s="856">
        <f>AD96</f>
        <v>25.313696847061767</v>
      </c>
      <c r="AE174" s="871">
        <f>AE96</f>
        <v>6.0499422486350021</v>
      </c>
      <c r="AF174" s="811">
        <f>AF96</f>
        <v>0.83454051796127704</v>
      </c>
      <c r="AG174" s="850">
        <f>AG96</f>
        <v>0.56076160680058895</v>
      </c>
      <c r="AH174" s="428"/>
      <c r="AI174" s="428"/>
      <c r="AJ174" s="428"/>
      <c r="AK174" s="451">
        <f t="shared" ref="AK174:AN174" si="243">AK96</f>
        <v>0</v>
      </c>
      <c r="AL174" s="452" t="str">
        <f t="shared" si="243"/>
        <v>Set 4 24h</v>
      </c>
      <c r="AM174" s="451" t="str">
        <f t="shared" si="243"/>
        <v>IFIT</v>
      </c>
      <c r="AN174" s="452">
        <f t="shared" si="243"/>
        <v>26.747779067205329</v>
      </c>
      <c r="AO174" s="856">
        <f>AO96</f>
        <v>26.658441649211557</v>
      </c>
      <c r="AP174" s="871">
        <f>AP96</f>
        <v>7.4206834402134305</v>
      </c>
      <c r="AQ174" s="811">
        <f>AQ96</f>
        <v>2.2052817095397055</v>
      </c>
      <c r="AR174" s="850">
        <f>AR96</f>
        <v>0.2168423256826503</v>
      </c>
      <c r="AS174" s="428"/>
      <c r="AT174" s="428"/>
      <c r="AU174" s="428"/>
      <c r="AV174" s="451">
        <f t="shared" ref="AV174:AY174" si="244">AV96</f>
        <v>0</v>
      </c>
      <c r="AW174" s="452" t="str">
        <f t="shared" si="244"/>
        <v>Set 5 24h</v>
      </c>
      <c r="AX174" s="451" t="str">
        <f t="shared" si="244"/>
        <v>IFIT</v>
      </c>
      <c r="AY174" s="452">
        <f t="shared" si="244"/>
        <v>0</v>
      </c>
      <c r="AZ174" s="856">
        <f>AZ96</f>
        <v>26.354829489642178</v>
      </c>
      <c r="BA174" s="871">
        <f>BA96</f>
        <v>7.1170712806440513</v>
      </c>
      <c r="BB174" s="811">
        <f>BB96</f>
        <v>1.9016695499703262</v>
      </c>
      <c r="BC174" s="850">
        <f>BC96</f>
        <v>0.26763346916825126</v>
      </c>
      <c r="BD174" s="428"/>
      <c r="BE174" s="428"/>
      <c r="BF174" s="428"/>
      <c r="BG174" s="451">
        <f t="shared" ref="BG174:BJ174" si="245">BG96</f>
        <v>0</v>
      </c>
      <c r="BH174" s="452" t="str">
        <f t="shared" si="245"/>
        <v>GFP 24h</v>
      </c>
      <c r="BI174" s="451" t="str">
        <f t="shared" si="245"/>
        <v>IFIT</v>
      </c>
      <c r="BJ174" s="452">
        <f t="shared" si="245"/>
        <v>0</v>
      </c>
      <c r="BK174" s="856">
        <f>BK96</f>
        <v>22.880939947548519</v>
      </c>
      <c r="BL174" s="871">
        <f>BL96</f>
        <v>4.310318293903233</v>
      </c>
      <c r="BM174" s="811">
        <f>BM96</f>
        <v>-0.90508343677049208</v>
      </c>
      <c r="BN174" s="850">
        <f>BN96</f>
        <v>1.8726527946682321</v>
      </c>
    </row>
    <row r="175" spans="1:66">
      <c r="A175" s="853"/>
      <c r="B175" s="853"/>
      <c r="C175" s="451">
        <f t="shared" ref="C175:F175" si="246">C97</f>
        <v>0</v>
      </c>
      <c r="D175" s="452" t="str">
        <f t="shared" si="246"/>
        <v>WT 24h</v>
      </c>
      <c r="E175" s="452" t="str">
        <f t="shared" si="246"/>
        <v>IFIT</v>
      </c>
      <c r="F175" s="452">
        <f t="shared" si="246"/>
        <v>25.871116199891837</v>
      </c>
      <c r="G175" s="856"/>
      <c r="H175" s="859"/>
      <c r="I175" s="859"/>
      <c r="J175" s="811"/>
      <c r="K175" s="850"/>
      <c r="L175" s="427"/>
      <c r="M175" s="427"/>
      <c r="N175" s="427"/>
      <c r="O175" s="451">
        <f t="shared" ref="O175:R175" si="247">O97</f>
        <v>0</v>
      </c>
      <c r="P175" s="452" t="str">
        <f t="shared" si="247"/>
        <v>Set 1 24h</v>
      </c>
      <c r="Q175" s="451" t="str">
        <f t="shared" si="247"/>
        <v>IFIT</v>
      </c>
      <c r="R175" s="452">
        <f t="shared" si="247"/>
        <v>26.933037850697488</v>
      </c>
      <c r="S175" s="856"/>
      <c r="T175" s="859"/>
      <c r="U175" s="811"/>
      <c r="V175" s="850"/>
      <c r="W175" s="428"/>
      <c r="X175" s="428"/>
      <c r="Y175" s="428"/>
      <c r="Z175" s="451">
        <f t="shared" ref="Z175:AC175" si="248">Z97</f>
        <v>0</v>
      </c>
      <c r="AA175" s="452" t="str">
        <f t="shared" si="248"/>
        <v>Set 2 24h</v>
      </c>
      <c r="AB175" s="451" t="str">
        <f t="shared" si="248"/>
        <v>IFIT</v>
      </c>
      <c r="AC175" s="452">
        <f t="shared" si="248"/>
        <v>25.002201197265059</v>
      </c>
      <c r="AD175" s="856"/>
      <c r="AE175" s="859"/>
      <c r="AF175" s="811"/>
      <c r="AG175" s="850"/>
      <c r="AH175" s="428"/>
      <c r="AI175" s="428"/>
      <c r="AJ175" s="428"/>
      <c r="AK175" s="451">
        <f t="shared" ref="AK175:AN175" si="249">AK97</f>
        <v>0</v>
      </c>
      <c r="AL175" s="452" t="str">
        <f t="shared" si="249"/>
        <v>Set 4 24h</v>
      </c>
      <c r="AM175" s="451" t="str">
        <f t="shared" si="249"/>
        <v>IFIT</v>
      </c>
      <c r="AN175" s="452">
        <f t="shared" si="249"/>
        <v>26.358161411363653</v>
      </c>
      <c r="AO175" s="856"/>
      <c r="AP175" s="859"/>
      <c r="AQ175" s="811"/>
      <c r="AR175" s="850"/>
      <c r="AS175" s="428"/>
      <c r="AT175" s="428"/>
      <c r="AU175" s="428"/>
      <c r="AV175" s="451">
        <f t="shared" ref="AV175:AY175" si="250">AV97</f>
        <v>0</v>
      </c>
      <c r="AW175" s="452" t="str">
        <f t="shared" si="250"/>
        <v>Set 5 24h</v>
      </c>
      <c r="AX175" s="451" t="str">
        <f t="shared" si="250"/>
        <v>IFIT</v>
      </c>
      <c r="AY175" s="452">
        <f t="shared" si="250"/>
        <v>0</v>
      </c>
      <c r="AZ175" s="856"/>
      <c r="BA175" s="859"/>
      <c r="BB175" s="811"/>
      <c r="BC175" s="850"/>
      <c r="BD175" s="428"/>
      <c r="BE175" s="428"/>
      <c r="BF175" s="428"/>
      <c r="BG175" s="451">
        <f t="shared" ref="BG175:BJ175" si="251">BG97</f>
        <v>0</v>
      </c>
      <c r="BH175" s="452" t="str">
        <f t="shared" si="251"/>
        <v>GFP 24h</v>
      </c>
      <c r="BI175" s="451" t="str">
        <f t="shared" si="251"/>
        <v>IFIT</v>
      </c>
      <c r="BJ175" s="452">
        <f t="shared" si="251"/>
        <v>0</v>
      </c>
      <c r="BK175" s="856"/>
      <c r="BL175" s="859"/>
      <c r="BM175" s="811"/>
      <c r="BN175" s="850"/>
    </row>
    <row r="176" spans="1:66" ht="16.2" thickBot="1">
      <c r="A176" s="854"/>
      <c r="B176" s="854"/>
      <c r="C176" s="463">
        <f t="shared" ref="C176:F176" si="252">C98</f>
        <v>0</v>
      </c>
      <c r="D176" s="464" t="str">
        <f t="shared" si="252"/>
        <v>WT 24h</v>
      </c>
      <c r="E176" s="464" t="str">
        <f t="shared" si="252"/>
        <v>IFIT</v>
      </c>
      <c r="F176" s="464">
        <f t="shared" si="252"/>
        <v>0</v>
      </c>
      <c r="G176" s="870"/>
      <c r="H176" s="861"/>
      <c r="I176" s="861"/>
      <c r="J176" s="864"/>
      <c r="K176" s="865"/>
      <c r="L176" s="427"/>
      <c r="M176" s="427"/>
      <c r="N176" s="427"/>
      <c r="O176" s="463">
        <f>O98</f>
        <v>0</v>
      </c>
      <c r="P176" s="464" t="str">
        <f>P98</f>
        <v>Set 1 24h</v>
      </c>
      <c r="Q176" s="463" t="str">
        <f>Q98</f>
        <v>IFIT</v>
      </c>
      <c r="R176" s="464">
        <f>R98</f>
        <v>0</v>
      </c>
      <c r="S176" s="870"/>
      <c r="T176" s="861"/>
      <c r="U176" s="864"/>
      <c r="V176" s="865"/>
      <c r="W176" s="428"/>
      <c r="X176" s="428"/>
      <c r="Y176" s="428"/>
      <c r="Z176" s="463">
        <f>Z98</f>
        <v>0</v>
      </c>
      <c r="AA176" s="464" t="str">
        <f>AA98</f>
        <v>Set 2 24h</v>
      </c>
      <c r="AB176" s="463" t="str">
        <f>AB98</f>
        <v>IFIT</v>
      </c>
      <c r="AC176" s="464">
        <f>AC98</f>
        <v>25.116260918078922</v>
      </c>
      <c r="AD176" s="870"/>
      <c r="AE176" s="861"/>
      <c r="AF176" s="864"/>
      <c r="AG176" s="865"/>
      <c r="AH176" s="428"/>
      <c r="AI176" s="428"/>
      <c r="AJ176" s="428"/>
      <c r="AK176" s="463">
        <f>AK98</f>
        <v>0</v>
      </c>
      <c r="AL176" s="464" t="str">
        <f>AL98</f>
        <v>Set 4 24h</v>
      </c>
      <c r="AM176" s="463" t="str">
        <f>AM98</f>
        <v>IFIT</v>
      </c>
      <c r="AN176" s="464">
        <f>AN98</f>
        <v>26.869384469065693</v>
      </c>
      <c r="AO176" s="870"/>
      <c r="AP176" s="861"/>
      <c r="AQ176" s="864"/>
      <c r="AR176" s="865"/>
      <c r="AS176" s="428"/>
      <c r="AT176" s="428"/>
      <c r="AU176" s="428"/>
      <c r="AV176" s="463">
        <f>AV98</f>
        <v>0</v>
      </c>
      <c r="AW176" s="464" t="str">
        <f>AW98</f>
        <v>Set 5 24h</v>
      </c>
      <c r="AX176" s="463" t="str">
        <f>AX98</f>
        <v>IFIT</v>
      </c>
      <c r="AY176" s="464">
        <f>AY98</f>
        <v>26.354829489642178</v>
      </c>
      <c r="AZ176" s="870"/>
      <c r="BA176" s="861"/>
      <c r="BB176" s="864"/>
      <c r="BC176" s="865"/>
      <c r="BD176" s="428"/>
      <c r="BE176" s="428"/>
      <c r="BF176" s="428"/>
      <c r="BG176" s="463">
        <f>BG98</f>
        <v>0</v>
      </c>
      <c r="BH176" s="464" t="str">
        <f>BH98</f>
        <v>GFP 24h</v>
      </c>
      <c r="BI176" s="463" t="str">
        <f>BI98</f>
        <v>IFIT</v>
      </c>
      <c r="BJ176" s="464">
        <f>BJ98</f>
        <v>22.880939947548519</v>
      </c>
      <c r="BK176" s="870"/>
      <c r="BL176" s="861"/>
      <c r="BM176" s="864"/>
      <c r="BN176" s="865"/>
    </row>
  </sheetData>
  <mergeCells count="956">
    <mergeCell ref="K15:M15"/>
    <mergeCell ref="K37:M37"/>
    <mergeCell ref="W14:Y14"/>
    <mergeCell ref="W36:Y36"/>
    <mergeCell ref="AH14:AJ14"/>
    <mergeCell ref="AH36:AJ36"/>
    <mergeCell ref="AS14:AU14"/>
    <mergeCell ref="AS36:AU36"/>
    <mergeCell ref="BD14:BF14"/>
    <mergeCell ref="BD36:BF36"/>
    <mergeCell ref="BI3:BL3"/>
    <mergeCell ref="BK171:BK173"/>
    <mergeCell ref="BL171:BL173"/>
    <mergeCell ref="BM171:BM173"/>
    <mergeCell ref="BN171:BN173"/>
    <mergeCell ref="BK174:BK176"/>
    <mergeCell ref="BL174:BL176"/>
    <mergeCell ref="BM174:BM176"/>
    <mergeCell ref="BN174:BN176"/>
    <mergeCell ref="BK161:BK163"/>
    <mergeCell ref="BL161:BL163"/>
    <mergeCell ref="BM161:BM163"/>
    <mergeCell ref="BN161:BN163"/>
    <mergeCell ref="BG166:BN166"/>
    <mergeCell ref="BK168:BK170"/>
    <mergeCell ref="BL168:BL170"/>
    <mergeCell ref="BM168:BM170"/>
    <mergeCell ref="BN168:BN170"/>
    <mergeCell ref="BG153:BN153"/>
    <mergeCell ref="BK155:BK157"/>
    <mergeCell ref="BL155:BL157"/>
    <mergeCell ref="BM155:BM157"/>
    <mergeCell ref="BN155:BN157"/>
    <mergeCell ref="BK158:BK160"/>
    <mergeCell ref="BL158:BL160"/>
    <mergeCell ref="BM158:BM160"/>
    <mergeCell ref="BN158:BN160"/>
    <mergeCell ref="BK145:BK147"/>
    <mergeCell ref="BL145:BL147"/>
    <mergeCell ref="BM145:BM147"/>
    <mergeCell ref="BN145:BN147"/>
    <mergeCell ref="BK148:BK150"/>
    <mergeCell ref="BL148:BL150"/>
    <mergeCell ref="BM148:BM150"/>
    <mergeCell ref="BN148:BN150"/>
    <mergeCell ref="BK135:BK137"/>
    <mergeCell ref="BL135:BL137"/>
    <mergeCell ref="BM135:BM137"/>
    <mergeCell ref="BN135:BN137"/>
    <mergeCell ref="BG140:BN140"/>
    <mergeCell ref="BK142:BK144"/>
    <mergeCell ref="BL142:BL144"/>
    <mergeCell ref="BM142:BM144"/>
    <mergeCell ref="BN142:BN144"/>
    <mergeCell ref="BG127:BN127"/>
    <mergeCell ref="BK129:BK131"/>
    <mergeCell ref="BL129:BL131"/>
    <mergeCell ref="BM129:BM131"/>
    <mergeCell ref="BN129:BN131"/>
    <mergeCell ref="BK132:BK134"/>
    <mergeCell ref="BL132:BL134"/>
    <mergeCell ref="BM132:BM134"/>
    <mergeCell ref="BN132:BN134"/>
    <mergeCell ref="BK119:BK121"/>
    <mergeCell ref="BL119:BL121"/>
    <mergeCell ref="BM119:BM121"/>
    <mergeCell ref="BN119:BN121"/>
    <mergeCell ref="BK122:BK124"/>
    <mergeCell ref="BL122:BL124"/>
    <mergeCell ref="BM122:BM124"/>
    <mergeCell ref="BN122:BN124"/>
    <mergeCell ref="BK109:BK111"/>
    <mergeCell ref="BL109:BL111"/>
    <mergeCell ref="BM109:BM111"/>
    <mergeCell ref="BN109:BN111"/>
    <mergeCell ref="BG114:BN114"/>
    <mergeCell ref="BK116:BK118"/>
    <mergeCell ref="BL116:BL118"/>
    <mergeCell ref="BM116:BM118"/>
    <mergeCell ref="BN116:BN118"/>
    <mergeCell ref="BG101:BN101"/>
    <mergeCell ref="BK103:BK105"/>
    <mergeCell ref="BL103:BL105"/>
    <mergeCell ref="BM103:BM105"/>
    <mergeCell ref="BN103:BN105"/>
    <mergeCell ref="BK106:BK108"/>
    <mergeCell ref="BL106:BL108"/>
    <mergeCell ref="BM106:BM108"/>
    <mergeCell ref="BN106:BN108"/>
    <mergeCell ref="BK93:BK95"/>
    <mergeCell ref="BL93:BL95"/>
    <mergeCell ref="BM93:BM95"/>
    <mergeCell ref="BN93:BN95"/>
    <mergeCell ref="BK96:BK98"/>
    <mergeCell ref="BL96:BL98"/>
    <mergeCell ref="BM96:BM98"/>
    <mergeCell ref="BN96:BN98"/>
    <mergeCell ref="BK87:BK89"/>
    <mergeCell ref="BL87:BL89"/>
    <mergeCell ref="BM87:BM89"/>
    <mergeCell ref="BN87:BN89"/>
    <mergeCell ref="BK90:BK92"/>
    <mergeCell ref="BL90:BL92"/>
    <mergeCell ref="BM90:BM92"/>
    <mergeCell ref="BN90:BN92"/>
    <mergeCell ref="BK81:BK83"/>
    <mergeCell ref="BL81:BL83"/>
    <mergeCell ref="BM81:BM83"/>
    <mergeCell ref="BN81:BN83"/>
    <mergeCell ref="BK84:BK86"/>
    <mergeCell ref="BL84:BL86"/>
    <mergeCell ref="BM84:BM86"/>
    <mergeCell ref="BN84:BN86"/>
    <mergeCell ref="BK75:BK77"/>
    <mergeCell ref="BL75:BL77"/>
    <mergeCell ref="BM75:BM77"/>
    <mergeCell ref="BN75:BN77"/>
    <mergeCell ref="BK78:BK80"/>
    <mergeCell ref="BL78:BL80"/>
    <mergeCell ref="BM78:BM80"/>
    <mergeCell ref="BN78:BN80"/>
    <mergeCell ref="BK69:BK71"/>
    <mergeCell ref="BL69:BL71"/>
    <mergeCell ref="BM69:BM71"/>
    <mergeCell ref="BN69:BN71"/>
    <mergeCell ref="BK72:BK74"/>
    <mergeCell ref="BL72:BL74"/>
    <mergeCell ref="BM72:BM74"/>
    <mergeCell ref="BN72:BN74"/>
    <mergeCell ref="BK63:BK65"/>
    <mergeCell ref="BL63:BL65"/>
    <mergeCell ref="BM63:BM65"/>
    <mergeCell ref="BN63:BN65"/>
    <mergeCell ref="BK66:BK68"/>
    <mergeCell ref="BL66:BL68"/>
    <mergeCell ref="BM66:BM68"/>
    <mergeCell ref="BN66:BN68"/>
    <mergeCell ref="BK57:BK59"/>
    <mergeCell ref="BL57:BL59"/>
    <mergeCell ref="BM57:BM59"/>
    <mergeCell ref="BN57:BN59"/>
    <mergeCell ref="BK60:BK62"/>
    <mergeCell ref="BL60:BL62"/>
    <mergeCell ref="BM60:BM62"/>
    <mergeCell ref="BN60:BN62"/>
    <mergeCell ref="BK51:BK53"/>
    <mergeCell ref="BL51:BL53"/>
    <mergeCell ref="BM51:BM53"/>
    <mergeCell ref="BN51:BN53"/>
    <mergeCell ref="BK54:BK56"/>
    <mergeCell ref="BL54:BL56"/>
    <mergeCell ref="BM54:BM56"/>
    <mergeCell ref="BN54:BN56"/>
    <mergeCell ref="BG43:BN43"/>
    <mergeCell ref="BK45:BK47"/>
    <mergeCell ref="BL45:BL47"/>
    <mergeCell ref="BM45:BM47"/>
    <mergeCell ref="BN45:BN47"/>
    <mergeCell ref="BK48:BK50"/>
    <mergeCell ref="BL48:BL50"/>
    <mergeCell ref="BM48:BM50"/>
    <mergeCell ref="BN48:BN50"/>
    <mergeCell ref="AB3:AE3"/>
    <mergeCell ref="AM3:AP3"/>
    <mergeCell ref="AX3:BA3"/>
    <mergeCell ref="E3:H3"/>
    <mergeCell ref="Q3:T3"/>
    <mergeCell ref="B140:B150"/>
    <mergeCell ref="B153:B163"/>
    <mergeCell ref="B166:B176"/>
    <mergeCell ref="B72:B80"/>
    <mergeCell ref="B81:B89"/>
    <mergeCell ref="B90:B98"/>
    <mergeCell ref="B101:B111"/>
    <mergeCell ref="B114:B124"/>
    <mergeCell ref="B127:B137"/>
    <mergeCell ref="S81:S83"/>
    <mergeCell ref="T81:T83"/>
    <mergeCell ref="H171:H173"/>
    <mergeCell ref="J171:J173"/>
    <mergeCell ref="K171:K173"/>
    <mergeCell ref="S171:S173"/>
    <mergeCell ref="T171:T173"/>
    <mergeCell ref="T155:T157"/>
    <mergeCell ref="T145:T147"/>
    <mergeCell ref="K142:K144"/>
    <mergeCell ref="S142:S144"/>
    <mergeCell ref="AZ174:AZ176"/>
    <mergeCell ref="BA174:BA176"/>
    <mergeCell ref="BB174:BB176"/>
    <mergeCell ref="BC174:BC176"/>
    <mergeCell ref="AV166:BC166"/>
    <mergeCell ref="AZ168:AZ170"/>
    <mergeCell ref="BA168:BA170"/>
    <mergeCell ref="BB168:BB170"/>
    <mergeCell ref="BC168:BC170"/>
    <mergeCell ref="AZ171:AZ173"/>
    <mergeCell ref="BA171:BA173"/>
    <mergeCell ref="BB171:BB173"/>
    <mergeCell ref="BC171:BC173"/>
    <mergeCell ref="AZ158:AZ160"/>
    <mergeCell ref="BA158:BA160"/>
    <mergeCell ref="BB158:BB160"/>
    <mergeCell ref="BC158:BC160"/>
    <mergeCell ref="AZ161:AZ163"/>
    <mergeCell ref="BA161:BA163"/>
    <mergeCell ref="BB161:BB163"/>
    <mergeCell ref="BC161:BC163"/>
    <mergeCell ref="AZ148:AZ150"/>
    <mergeCell ref="BA148:BA150"/>
    <mergeCell ref="BB148:BB150"/>
    <mergeCell ref="BC148:BC150"/>
    <mergeCell ref="AV153:BC153"/>
    <mergeCell ref="AZ155:AZ157"/>
    <mergeCell ref="BA155:BA157"/>
    <mergeCell ref="BB155:BB157"/>
    <mergeCell ref="BC155:BC157"/>
    <mergeCell ref="AV140:BC140"/>
    <mergeCell ref="AZ142:AZ144"/>
    <mergeCell ref="BA142:BA144"/>
    <mergeCell ref="BB142:BB144"/>
    <mergeCell ref="BC142:BC144"/>
    <mergeCell ref="AZ145:AZ147"/>
    <mergeCell ref="BA145:BA147"/>
    <mergeCell ref="BB145:BB147"/>
    <mergeCell ref="BC145:BC147"/>
    <mergeCell ref="AZ132:AZ134"/>
    <mergeCell ref="BA132:BA134"/>
    <mergeCell ref="BB132:BB134"/>
    <mergeCell ref="BC132:BC134"/>
    <mergeCell ref="AZ135:AZ137"/>
    <mergeCell ref="BA135:BA137"/>
    <mergeCell ref="BB135:BB137"/>
    <mergeCell ref="BC135:BC137"/>
    <mergeCell ref="AZ122:AZ124"/>
    <mergeCell ref="BA122:BA124"/>
    <mergeCell ref="BB122:BB124"/>
    <mergeCell ref="BC122:BC124"/>
    <mergeCell ref="AV127:BC127"/>
    <mergeCell ref="AZ129:AZ131"/>
    <mergeCell ref="BA129:BA131"/>
    <mergeCell ref="BB129:BB131"/>
    <mergeCell ref="BC129:BC131"/>
    <mergeCell ref="AV114:BC114"/>
    <mergeCell ref="AZ116:AZ118"/>
    <mergeCell ref="BA116:BA118"/>
    <mergeCell ref="BB116:BB118"/>
    <mergeCell ref="BC116:BC118"/>
    <mergeCell ref="AZ119:AZ121"/>
    <mergeCell ref="BA119:BA121"/>
    <mergeCell ref="BB119:BB121"/>
    <mergeCell ref="BC119:BC121"/>
    <mergeCell ref="AZ106:AZ108"/>
    <mergeCell ref="BA106:BA108"/>
    <mergeCell ref="BB106:BB108"/>
    <mergeCell ref="BC106:BC108"/>
    <mergeCell ref="AZ109:AZ111"/>
    <mergeCell ref="BA109:BA111"/>
    <mergeCell ref="BB109:BB111"/>
    <mergeCell ref="BC109:BC111"/>
    <mergeCell ref="AZ96:AZ98"/>
    <mergeCell ref="BA96:BA98"/>
    <mergeCell ref="BB96:BB98"/>
    <mergeCell ref="BC96:BC98"/>
    <mergeCell ref="AV101:BC101"/>
    <mergeCell ref="AZ103:AZ105"/>
    <mergeCell ref="BA103:BA105"/>
    <mergeCell ref="BB103:BB105"/>
    <mergeCell ref="BC103:BC105"/>
    <mergeCell ref="AZ90:AZ92"/>
    <mergeCell ref="BA90:BA92"/>
    <mergeCell ref="BB90:BB92"/>
    <mergeCell ref="BC90:BC92"/>
    <mergeCell ref="AZ93:AZ95"/>
    <mergeCell ref="BA93:BA95"/>
    <mergeCell ref="BB93:BB95"/>
    <mergeCell ref="BC93:BC95"/>
    <mergeCell ref="AZ84:AZ86"/>
    <mergeCell ref="BA84:BA86"/>
    <mergeCell ref="BB84:BB86"/>
    <mergeCell ref="BC84:BC86"/>
    <mergeCell ref="AZ87:AZ89"/>
    <mergeCell ref="BA87:BA89"/>
    <mergeCell ref="BB87:BB89"/>
    <mergeCell ref="BC87:BC89"/>
    <mergeCell ref="AZ78:AZ80"/>
    <mergeCell ref="BA78:BA80"/>
    <mergeCell ref="BB78:BB80"/>
    <mergeCell ref="BC78:BC80"/>
    <mergeCell ref="AZ81:AZ83"/>
    <mergeCell ref="BA81:BA83"/>
    <mergeCell ref="BB81:BB83"/>
    <mergeCell ref="BC81:BC83"/>
    <mergeCell ref="AZ72:AZ74"/>
    <mergeCell ref="BA72:BA74"/>
    <mergeCell ref="BB72:BB74"/>
    <mergeCell ref="BC72:BC74"/>
    <mergeCell ref="AZ75:AZ77"/>
    <mergeCell ref="BA75:BA77"/>
    <mergeCell ref="BB75:BB77"/>
    <mergeCell ref="BC75:BC77"/>
    <mergeCell ref="AZ66:AZ68"/>
    <mergeCell ref="BA66:BA68"/>
    <mergeCell ref="BB66:BB68"/>
    <mergeCell ref="BC66:BC68"/>
    <mergeCell ref="AZ69:AZ71"/>
    <mergeCell ref="BA69:BA71"/>
    <mergeCell ref="BB69:BB71"/>
    <mergeCell ref="BC69:BC71"/>
    <mergeCell ref="AZ60:AZ62"/>
    <mergeCell ref="BA60:BA62"/>
    <mergeCell ref="BB60:BB62"/>
    <mergeCell ref="BC60:BC62"/>
    <mergeCell ref="AZ63:AZ65"/>
    <mergeCell ref="BA63:BA65"/>
    <mergeCell ref="BB63:BB65"/>
    <mergeCell ref="BC63:BC65"/>
    <mergeCell ref="AZ54:AZ56"/>
    <mergeCell ref="BA54:BA56"/>
    <mergeCell ref="BB54:BB56"/>
    <mergeCell ref="BC54:BC56"/>
    <mergeCell ref="AZ57:AZ59"/>
    <mergeCell ref="BA57:BA59"/>
    <mergeCell ref="BB57:BB59"/>
    <mergeCell ref="BC57:BC59"/>
    <mergeCell ref="BA48:BA50"/>
    <mergeCell ref="BB48:BB50"/>
    <mergeCell ref="BC48:BC50"/>
    <mergeCell ref="AZ51:AZ53"/>
    <mergeCell ref="BA51:BA53"/>
    <mergeCell ref="BB51:BB53"/>
    <mergeCell ref="BC51:BC53"/>
    <mergeCell ref="AO174:AO176"/>
    <mergeCell ref="AP174:AP176"/>
    <mergeCell ref="AQ174:AQ176"/>
    <mergeCell ref="AR174:AR176"/>
    <mergeCell ref="AV43:BC43"/>
    <mergeCell ref="AZ45:AZ47"/>
    <mergeCell ref="BA45:BA47"/>
    <mergeCell ref="BB45:BB47"/>
    <mergeCell ref="BC45:BC47"/>
    <mergeCell ref="AZ48:AZ50"/>
    <mergeCell ref="AK166:AR166"/>
    <mergeCell ref="AO168:AO170"/>
    <mergeCell ref="AP168:AP170"/>
    <mergeCell ref="AQ168:AQ170"/>
    <mergeCell ref="AR168:AR170"/>
    <mergeCell ref="AO171:AO173"/>
    <mergeCell ref="AP171:AP173"/>
    <mergeCell ref="AQ171:AQ173"/>
    <mergeCell ref="AR171:AR173"/>
    <mergeCell ref="AO158:AO160"/>
    <mergeCell ref="AP158:AP160"/>
    <mergeCell ref="AQ158:AQ160"/>
    <mergeCell ref="AR158:AR160"/>
    <mergeCell ref="AO161:AO163"/>
    <mergeCell ref="AP161:AP163"/>
    <mergeCell ref="AQ161:AQ163"/>
    <mergeCell ref="AR161:AR163"/>
    <mergeCell ref="AO148:AO150"/>
    <mergeCell ref="AP148:AP150"/>
    <mergeCell ref="AQ148:AQ150"/>
    <mergeCell ref="AR148:AR150"/>
    <mergeCell ref="AK153:AR153"/>
    <mergeCell ref="AO155:AO157"/>
    <mergeCell ref="AP155:AP157"/>
    <mergeCell ref="AQ155:AQ157"/>
    <mergeCell ref="AR155:AR157"/>
    <mergeCell ref="AK140:AR140"/>
    <mergeCell ref="AO142:AO144"/>
    <mergeCell ref="AP142:AP144"/>
    <mergeCell ref="AQ142:AQ144"/>
    <mergeCell ref="AR142:AR144"/>
    <mergeCell ref="AO145:AO147"/>
    <mergeCell ref="AP145:AP147"/>
    <mergeCell ref="AQ145:AQ147"/>
    <mergeCell ref="AR145:AR147"/>
    <mergeCell ref="AO132:AO134"/>
    <mergeCell ref="AP132:AP134"/>
    <mergeCell ref="AQ132:AQ134"/>
    <mergeCell ref="AR132:AR134"/>
    <mergeCell ref="AO135:AO137"/>
    <mergeCell ref="AP135:AP137"/>
    <mergeCell ref="AQ135:AQ137"/>
    <mergeCell ref="AR135:AR137"/>
    <mergeCell ref="AO122:AO124"/>
    <mergeCell ref="AP122:AP124"/>
    <mergeCell ref="AQ122:AQ124"/>
    <mergeCell ref="AR122:AR124"/>
    <mergeCell ref="AK127:AR127"/>
    <mergeCell ref="AO129:AO131"/>
    <mergeCell ref="AP129:AP131"/>
    <mergeCell ref="AQ129:AQ131"/>
    <mergeCell ref="AR129:AR131"/>
    <mergeCell ref="AK114:AR114"/>
    <mergeCell ref="AO116:AO118"/>
    <mergeCell ref="AP116:AP118"/>
    <mergeCell ref="AQ116:AQ118"/>
    <mergeCell ref="AR116:AR118"/>
    <mergeCell ref="AO119:AO121"/>
    <mergeCell ref="AP119:AP121"/>
    <mergeCell ref="AQ119:AQ121"/>
    <mergeCell ref="AR119:AR121"/>
    <mergeCell ref="AO106:AO108"/>
    <mergeCell ref="AP106:AP108"/>
    <mergeCell ref="AQ106:AQ108"/>
    <mergeCell ref="AR106:AR108"/>
    <mergeCell ref="AO109:AO111"/>
    <mergeCell ref="AP109:AP111"/>
    <mergeCell ref="AQ109:AQ111"/>
    <mergeCell ref="AR109:AR111"/>
    <mergeCell ref="AO96:AO98"/>
    <mergeCell ref="AP96:AP98"/>
    <mergeCell ref="AQ96:AQ98"/>
    <mergeCell ref="AR96:AR98"/>
    <mergeCell ref="AK101:AR101"/>
    <mergeCell ref="AO103:AO105"/>
    <mergeCell ref="AP103:AP105"/>
    <mergeCell ref="AQ103:AQ105"/>
    <mergeCell ref="AR103:AR105"/>
    <mergeCell ref="AO90:AO92"/>
    <mergeCell ref="AP90:AP92"/>
    <mergeCell ref="AQ90:AQ92"/>
    <mergeCell ref="AR90:AR92"/>
    <mergeCell ref="AO93:AO95"/>
    <mergeCell ref="AP93:AP95"/>
    <mergeCell ref="AQ93:AQ95"/>
    <mergeCell ref="AR93:AR95"/>
    <mergeCell ref="AO84:AO86"/>
    <mergeCell ref="AP84:AP86"/>
    <mergeCell ref="AQ84:AQ86"/>
    <mergeCell ref="AR84:AR86"/>
    <mergeCell ref="AO87:AO89"/>
    <mergeCell ref="AP87:AP89"/>
    <mergeCell ref="AQ87:AQ89"/>
    <mergeCell ref="AR87:AR89"/>
    <mergeCell ref="AO78:AO80"/>
    <mergeCell ref="AP78:AP80"/>
    <mergeCell ref="AQ78:AQ80"/>
    <mergeCell ref="AR78:AR80"/>
    <mergeCell ref="AO81:AO83"/>
    <mergeCell ref="AP81:AP83"/>
    <mergeCell ref="AQ81:AQ83"/>
    <mergeCell ref="AR81:AR83"/>
    <mergeCell ref="AO72:AO74"/>
    <mergeCell ref="AP72:AP74"/>
    <mergeCell ref="AQ72:AQ74"/>
    <mergeCell ref="AR72:AR74"/>
    <mergeCell ref="AO75:AO77"/>
    <mergeCell ref="AP75:AP77"/>
    <mergeCell ref="AQ75:AQ77"/>
    <mergeCell ref="AR75:AR77"/>
    <mergeCell ref="AO66:AO68"/>
    <mergeCell ref="AP66:AP68"/>
    <mergeCell ref="AQ66:AQ68"/>
    <mergeCell ref="AR66:AR68"/>
    <mergeCell ref="AO69:AO71"/>
    <mergeCell ref="AP69:AP71"/>
    <mergeCell ref="AQ69:AQ71"/>
    <mergeCell ref="AR69:AR71"/>
    <mergeCell ref="AO60:AO62"/>
    <mergeCell ref="AP60:AP62"/>
    <mergeCell ref="AQ60:AQ62"/>
    <mergeCell ref="AR60:AR62"/>
    <mergeCell ref="AO63:AO65"/>
    <mergeCell ref="AP63:AP65"/>
    <mergeCell ref="AQ63:AQ65"/>
    <mergeCell ref="AR63:AR65"/>
    <mergeCell ref="AO54:AO56"/>
    <mergeCell ref="AP54:AP56"/>
    <mergeCell ref="AQ54:AQ56"/>
    <mergeCell ref="AR54:AR56"/>
    <mergeCell ref="AO57:AO59"/>
    <mergeCell ref="AP57:AP59"/>
    <mergeCell ref="AQ57:AQ59"/>
    <mergeCell ref="AR57:AR59"/>
    <mergeCell ref="AP48:AP50"/>
    <mergeCell ref="AQ48:AQ50"/>
    <mergeCell ref="AR48:AR50"/>
    <mergeCell ref="AO51:AO53"/>
    <mergeCell ref="AP51:AP53"/>
    <mergeCell ref="AQ51:AQ53"/>
    <mergeCell ref="AR51:AR53"/>
    <mergeCell ref="AD174:AD176"/>
    <mergeCell ref="AE174:AE176"/>
    <mergeCell ref="AF174:AF176"/>
    <mergeCell ref="AG174:AG176"/>
    <mergeCell ref="AK43:AR43"/>
    <mergeCell ref="AO45:AO47"/>
    <mergeCell ref="AP45:AP47"/>
    <mergeCell ref="AQ45:AQ47"/>
    <mergeCell ref="AR45:AR47"/>
    <mergeCell ref="AO48:AO50"/>
    <mergeCell ref="Z166:AG166"/>
    <mergeCell ref="AD168:AD170"/>
    <mergeCell ref="AE168:AE170"/>
    <mergeCell ref="AF168:AF170"/>
    <mergeCell ref="AG168:AG170"/>
    <mergeCell ref="AD171:AD173"/>
    <mergeCell ref="AE171:AE173"/>
    <mergeCell ref="AF171:AF173"/>
    <mergeCell ref="AG171:AG173"/>
    <mergeCell ref="AD158:AD160"/>
    <mergeCell ref="AE158:AE160"/>
    <mergeCell ref="AF158:AF160"/>
    <mergeCell ref="AG158:AG160"/>
    <mergeCell ref="AD161:AD163"/>
    <mergeCell ref="AE161:AE163"/>
    <mergeCell ref="AF161:AF163"/>
    <mergeCell ref="AG161:AG163"/>
    <mergeCell ref="AD148:AD150"/>
    <mergeCell ref="AE148:AE150"/>
    <mergeCell ref="AF148:AF150"/>
    <mergeCell ref="AG148:AG150"/>
    <mergeCell ref="Z153:AG153"/>
    <mergeCell ref="AD155:AD157"/>
    <mergeCell ref="AE155:AE157"/>
    <mergeCell ref="AF155:AF157"/>
    <mergeCell ref="AG155:AG157"/>
    <mergeCell ref="Z140:AG140"/>
    <mergeCell ref="AD142:AD144"/>
    <mergeCell ref="AE142:AE144"/>
    <mergeCell ref="AF142:AF144"/>
    <mergeCell ref="AG142:AG144"/>
    <mergeCell ref="AD145:AD147"/>
    <mergeCell ref="AE145:AE147"/>
    <mergeCell ref="AF145:AF147"/>
    <mergeCell ref="AG145:AG147"/>
    <mergeCell ref="AD132:AD134"/>
    <mergeCell ref="AE132:AE134"/>
    <mergeCell ref="AF132:AF134"/>
    <mergeCell ref="AG132:AG134"/>
    <mergeCell ref="AD135:AD137"/>
    <mergeCell ref="AE135:AE137"/>
    <mergeCell ref="AF135:AF137"/>
    <mergeCell ref="AG135:AG137"/>
    <mergeCell ref="AD122:AD124"/>
    <mergeCell ref="AE122:AE124"/>
    <mergeCell ref="AF122:AF124"/>
    <mergeCell ref="AG122:AG124"/>
    <mergeCell ref="Z127:AG127"/>
    <mergeCell ref="AD129:AD131"/>
    <mergeCell ref="AE129:AE131"/>
    <mergeCell ref="AF129:AF131"/>
    <mergeCell ref="AG129:AG131"/>
    <mergeCell ref="Z114:AG114"/>
    <mergeCell ref="AD116:AD118"/>
    <mergeCell ref="AE116:AE118"/>
    <mergeCell ref="AF116:AF118"/>
    <mergeCell ref="AG116:AG118"/>
    <mergeCell ref="AD119:AD121"/>
    <mergeCell ref="AE119:AE121"/>
    <mergeCell ref="AF119:AF121"/>
    <mergeCell ref="AG119:AG121"/>
    <mergeCell ref="AD106:AD108"/>
    <mergeCell ref="AE106:AE108"/>
    <mergeCell ref="AF106:AF108"/>
    <mergeCell ref="AG106:AG108"/>
    <mergeCell ref="AD109:AD111"/>
    <mergeCell ref="AE109:AE111"/>
    <mergeCell ref="AF109:AF111"/>
    <mergeCell ref="AG109:AG111"/>
    <mergeCell ref="AD96:AD98"/>
    <mergeCell ref="AE96:AE98"/>
    <mergeCell ref="AF96:AF98"/>
    <mergeCell ref="AG96:AG98"/>
    <mergeCell ref="Z101:AG101"/>
    <mergeCell ref="AD103:AD105"/>
    <mergeCell ref="AE103:AE105"/>
    <mergeCell ref="AF103:AF105"/>
    <mergeCell ref="AG103:AG105"/>
    <mergeCell ref="AD90:AD92"/>
    <mergeCell ref="AE90:AE92"/>
    <mergeCell ref="AF90:AF92"/>
    <mergeCell ref="AG90:AG92"/>
    <mergeCell ref="AD93:AD95"/>
    <mergeCell ref="AE93:AE95"/>
    <mergeCell ref="AF93:AF95"/>
    <mergeCell ref="AG93:AG95"/>
    <mergeCell ref="AD84:AD86"/>
    <mergeCell ref="AE84:AE86"/>
    <mergeCell ref="AF84:AF86"/>
    <mergeCell ref="AG84:AG86"/>
    <mergeCell ref="AD87:AD89"/>
    <mergeCell ref="AE87:AE89"/>
    <mergeCell ref="AF87:AF89"/>
    <mergeCell ref="AG87:AG89"/>
    <mergeCell ref="AD78:AD80"/>
    <mergeCell ref="AE78:AE80"/>
    <mergeCell ref="AF78:AF80"/>
    <mergeCell ref="AG78:AG80"/>
    <mergeCell ref="AD81:AD83"/>
    <mergeCell ref="AE81:AE83"/>
    <mergeCell ref="AF81:AF83"/>
    <mergeCell ref="AG81:AG83"/>
    <mergeCell ref="AD72:AD74"/>
    <mergeCell ref="AE72:AE74"/>
    <mergeCell ref="AF72:AF74"/>
    <mergeCell ref="AG72:AG74"/>
    <mergeCell ref="AD75:AD77"/>
    <mergeCell ref="AE75:AE77"/>
    <mergeCell ref="AF75:AF77"/>
    <mergeCell ref="AG75:AG77"/>
    <mergeCell ref="AD66:AD68"/>
    <mergeCell ref="AE66:AE68"/>
    <mergeCell ref="AF66:AF68"/>
    <mergeCell ref="AG66:AG68"/>
    <mergeCell ref="AD69:AD71"/>
    <mergeCell ref="AE69:AE71"/>
    <mergeCell ref="AF69:AF71"/>
    <mergeCell ref="AG69:AG71"/>
    <mergeCell ref="AD60:AD62"/>
    <mergeCell ref="AE60:AE62"/>
    <mergeCell ref="AF60:AF62"/>
    <mergeCell ref="AG60:AG62"/>
    <mergeCell ref="AD63:AD65"/>
    <mergeCell ref="AE63:AE65"/>
    <mergeCell ref="AF63:AF65"/>
    <mergeCell ref="AG63:AG65"/>
    <mergeCell ref="AF54:AF56"/>
    <mergeCell ref="AG54:AG56"/>
    <mergeCell ref="AD57:AD59"/>
    <mergeCell ref="AE57:AE59"/>
    <mergeCell ref="AF57:AF59"/>
    <mergeCell ref="AG57:AG59"/>
    <mergeCell ref="AE48:AE50"/>
    <mergeCell ref="AF48:AF50"/>
    <mergeCell ref="AG48:AG50"/>
    <mergeCell ref="AD51:AD53"/>
    <mergeCell ref="AE51:AE53"/>
    <mergeCell ref="AF51:AF53"/>
    <mergeCell ref="AG51:AG53"/>
    <mergeCell ref="A81:A89"/>
    <mergeCell ref="A90:A98"/>
    <mergeCell ref="Z43:AG43"/>
    <mergeCell ref="AD45:AD47"/>
    <mergeCell ref="AE45:AE47"/>
    <mergeCell ref="AF45:AF47"/>
    <mergeCell ref="AG45:AG47"/>
    <mergeCell ref="AD48:AD50"/>
    <mergeCell ref="G96:G98"/>
    <mergeCell ref="H96:H98"/>
    <mergeCell ref="J96:J98"/>
    <mergeCell ref="K96:K98"/>
    <mergeCell ref="S96:S98"/>
    <mergeCell ref="T96:T98"/>
    <mergeCell ref="U90:U92"/>
    <mergeCell ref="V90:V92"/>
    <mergeCell ref="G93:G95"/>
    <mergeCell ref="H93:H95"/>
    <mergeCell ref="J93:J95"/>
    <mergeCell ref="K93:K95"/>
    <mergeCell ref="S93:S95"/>
    <mergeCell ref="T93:T95"/>
    <mergeCell ref="AD54:AD56"/>
    <mergeCell ref="AE54:AE56"/>
    <mergeCell ref="V93:V95"/>
    <mergeCell ref="G90:G92"/>
    <mergeCell ref="H90:H92"/>
    <mergeCell ref="I90:I98"/>
    <mergeCell ref="J90:J92"/>
    <mergeCell ref="K90:K92"/>
    <mergeCell ref="S90:S92"/>
    <mergeCell ref="T90:T92"/>
    <mergeCell ref="U96:U98"/>
    <mergeCell ref="V96:V98"/>
    <mergeCell ref="V84:V86"/>
    <mergeCell ref="G87:G89"/>
    <mergeCell ref="H87:H89"/>
    <mergeCell ref="J87:J89"/>
    <mergeCell ref="K87:K89"/>
    <mergeCell ref="S87:S89"/>
    <mergeCell ref="T87:T89"/>
    <mergeCell ref="U87:U89"/>
    <mergeCell ref="V87:V89"/>
    <mergeCell ref="V81:V83"/>
    <mergeCell ref="G84:G86"/>
    <mergeCell ref="H84:H86"/>
    <mergeCell ref="J84:J86"/>
    <mergeCell ref="K84:K86"/>
    <mergeCell ref="S84:S86"/>
    <mergeCell ref="T84:T86"/>
    <mergeCell ref="U174:U176"/>
    <mergeCell ref="V174:V176"/>
    <mergeCell ref="G81:G83"/>
    <mergeCell ref="H81:H83"/>
    <mergeCell ref="I81:I89"/>
    <mergeCell ref="J81:J83"/>
    <mergeCell ref="K81:K83"/>
    <mergeCell ref="G174:G176"/>
    <mergeCell ref="H174:H176"/>
    <mergeCell ref="J174:J176"/>
    <mergeCell ref="K174:K176"/>
    <mergeCell ref="S174:S176"/>
    <mergeCell ref="T174:T176"/>
    <mergeCell ref="U168:U170"/>
    <mergeCell ref="V168:V170"/>
    <mergeCell ref="G171:G173"/>
    <mergeCell ref="U84:U86"/>
    <mergeCell ref="S161:S163"/>
    <mergeCell ref="T161:T163"/>
    <mergeCell ref="U161:U163"/>
    <mergeCell ref="V161:V163"/>
    <mergeCell ref="U171:U173"/>
    <mergeCell ref="V171:V173"/>
    <mergeCell ref="A166:A176"/>
    <mergeCell ref="C166:K166"/>
    <mergeCell ref="O166:V166"/>
    <mergeCell ref="G168:G170"/>
    <mergeCell ref="H168:H170"/>
    <mergeCell ref="I168:I176"/>
    <mergeCell ref="J168:J170"/>
    <mergeCell ref="K168:K170"/>
    <mergeCell ref="S168:S170"/>
    <mergeCell ref="T168:T170"/>
    <mergeCell ref="V148:V150"/>
    <mergeCell ref="A153:A163"/>
    <mergeCell ref="C153:K153"/>
    <mergeCell ref="O153:V153"/>
    <mergeCell ref="G155:G157"/>
    <mergeCell ref="H155:H157"/>
    <mergeCell ref="I155:I163"/>
    <mergeCell ref="J155:J157"/>
    <mergeCell ref="K155:K157"/>
    <mergeCell ref="S155:S157"/>
    <mergeCell ref="U155:U157"/>
    <mergeCell ref="V155:V157"/>
    <mergeCell ref="G158:G160"/>
    <mergeCell ref="H158:H160"/>
    <mergeCell ref="J158:J160"/>
    <mergeCell ref="K158:K160"/>
    <mergeCell ref="S158:S160"/>
    <mergeCell ref="T158:T160"/>
    <mergeCell ref="U158:U160"/>
    <mergeCell ref="V158:V160"/>
    <mergeCell ref="G161:G163"/>
    <mergeCell ref="H161:H163"/>
    <mergeCell ref="J161:J163"/>
    <mergeCell ref="K161:K163"/>
    <mergeCell ref="T142:T144"/>
    <mergeCell ref="U142:U144"/>
    <mergeCell ref="V142:V144"/>
    <mergeCell ref="G145:G147"/>
    <mergeCell ref="H145:H147"/>
    <mergeCell ref="J145:J147"/>
    <mergeCell ref="K145:K147"/>
    <mergeCell ref="S145:S147"/>
    <mergeCell ref="A140:A150"/>
    <mergeCell ref="C140:K140"/>
    <mergeCell ref="O140:V140"/>
    <mergeCell ref="G142:G144"/>
    <mergeCell ref="H142:H144"/>
    <mergeCell ref="I142:I150"/>
    <mergeCell ref="J142:J144"/>
    <mergeCell ref="U145:U147"/>
    <mergeCell ref="V145:V147"/>
    <mergeCell ref="G148:G150"/>
    <mergeCell ref="H148:H150"/>
    <mergeCell ref="J148:J150"/>
    <mergeCell ref="K148:K150"/>
    <mergeCell ref="S148:S150"/>
    <mergeCell ref="T148:T150"/>
    <mergeCell ref="U148:U150"/>
    <mergeCell ref="V51:V53"/>
    <mergeCell ref="I72:I80"/>
    <mergeCell ref="A54:A62"/>
    <mergeCell ref="A63:A71"/>
    <mergeCell ref="A72:A80"/>
    <mergeCell ref="A45:A53"/>
    <mergeCell ref="B45:B53"/>
    <mergeCell ref="B54:B62"/>
    <mergeCell ref="B63:B71"/>
    <mergeCell ref="U45:U47"/>
    <mergeCell ref="V45:V47"/>
    <mergeCell ref="S48:S50"/>
    <mergeCell ref="T48:T50"/>
    <mergeCell ref="U48:U50"/>
    <mergeCell ref="V48:V50"/>
    <mergeCell ref="G51:G53"/>
    <mergeCell ref="H51:H53"/>
    <mergeCell ref="J51:J53"/>
    <mergeCell ref="K51:K53"/>
    <mergeCell ref="S45:S47"/>
    <mergeCell ref="T45:T47"/>
    <mergeCell ref="S51:S53"/>
    <mergeCell ref="T51:T53"/>
    <mergeCell ref="G45:G47"/>
    <mergeCell ref="H45:H47"/>
    <mergeCell ref="J45:J47"/>
    <mergeCell ref="K45:K47"/>
    <mergeCell ref="G48:G50"/>
    <mergeCell ref="H48:H50"/>
    <mergeCell ref="J48:J50"/>
    <mergeCell ref="K48:K50"/>
    <mergeCell ref="U132:U134"/>
    <mergeCell ref="S129:S131"/>
    <mergeCell ref="T129:T131"/>
    <mergeCell ref="U129:U131"/>
    <mergeCell ref="U116:U118"/>
    <mergeCell ref="T103:T105"/>
    <mergeCell ref="U103:U105"/>
    <mergeCell ref="U72:U74"/>
    <mergeCell ref="T63:T65"/>
    <mergeCell ref="U63:U65"/>
    <mergeCell ref="T54:T56"/>
    <mergeCell ref="U54:U56"/>
    <mergeCell ref="U51:U53"/>
    <mergeCell ref="U81:U83"/>
    <mergeCell ref="U93:U95"/>
    <mergeCell ref="V132:V134"/>
    <mergeCell ref="G135:G137"/>
    <mergeCell ref="H135:H137"/>
    <mergeCell ref="J135:J137"/>
    <mergeCell ref="K135:K137"/>
    <mergeCell ref="S135:S137"/>
    <mergeCell ref="T135:T137"/>
    <mergeCell ref="U135:U137"/>
    <mergeCell ref="V135:V137"/>
    <mergeCell ref="A127:A137"/>
    <mergeCell ref="C127:K127"/>
    <mergeCell ref="O127:V127"/>
    <mergeCell ref="G129:G131"/>
    <mergeCell ref="H129:H131"/>
    <mergeCell ref="I129:I137"/>
    <mergeCell ref="J129:J131"/>
    <mergeCell ref="K129:K131"/>
    <mergeCell ref="G122:G124"/>
    <mergeCell ref="H122:H124"/>
    <mergeCell ref="J122:J124"/>
    <mergeCell ref="K122:K124"/>
    <mergeCell ref="S122:S124"/>
    <mergeCell ref="T122:T124"/>
    <mergeCell ref="A114:A124"/>
    <mergeCell ref="C114:K114"/>
    <mergeCell ref="O114:V114"/>
    <mergeCell ref="V129:V131"/>
    <mergeCell ref="G132:G134"/>
    <mergeCell ref="H132:H134"/>
    <mergeCell ref="J132:J134"/>
    <mergeCell ref="K132:K134"/>
    <mergeCell ref="S132:S134"/>
    <mergeCell ref="T132:T134"/>
    <mergeCell ref="V116:V118"/>
    <mergeCell ref="G119:G121"/>
    <mergeCell ref="H119:H121"/>
    <mergeCell ref="J119:J121"/>
    <mergeCell ref="K119:K121"/>
    <mergeCell ref="S119:S121"/>
    <mergeCell ref="T119:T121"/>
    <mergeCell ref="U119:U121"/>
    <mergeCell ref="V119:V121"/>
    <mergeCell ref="G116:G118"/>
    <mergeCell ref="H116:H118"/>
    <mergeCell ref="I116:I124"/>
    <mergeCell ref="J116:J118"/>
    <mergeCell ref="K116:K118"/>
    <mergeCell ref="S116:S118"/>
    <mergeCell ref="T116:T118"/>
    <mergeCell ref="U122:U124"/>
    <mergeCell ref="V122:V124"/>
    <mergeCell ref="V106:V108"/>
    <mergeCell ref="G109:G111"/>
    <mergeCell ref="H109:H111"/>
    <mergeCell ref="J109:J111"/>
    <mergeCell ref="K109:K111"/>
    <mergeCell ref="S109:S111"/>
    <mergeCell ref="T109:T111"/>
    <mergeCell ref="U109:U111"/>
    <mergeCell ref="V109:V111"/>
    <mergeCell ref="A101:A111"/>
    <mergeCell ref="C101:K101"/>
    <mergeCell ref="O101:V101"/>
    <mergeCell ref="G103:G105"/>
    <mergeCell ref="H103:H105"/>
    <mergeCell ref="J103:J105"/>
    <mergeCell ref="K103:K105"/>
    <mergeCell ref="S103:S105"/>
    <mergeCell ref="G78:G80"/>
    <mergeCell ref="H78:H80"/>
    <mergeCell ref="J78:J80"/>
    <mergeCell ref="K78:K80"/>
    <mergeCell ref="S78:S80"/>
    <mergeCell ref="T78:T80"/>
    <mergeCell ref="V103:V105"/>
    <mergeCell ref="G106:G108"/>
    <mergeCell ref="H106:H108"/>
    <mergeCell ref="J106:J108"/>
    <mergeCell ref="K106:K108"/>
    <mergeCell ref="S106:S108"/>
    <mergeCell ref="T106:T108"/>
    <mergeCell ref="U106:U108"/>
    <mergeCell ref="U78:U80"/>
    <mergeCell ref="V78:V80"/>
    <mergeCell ref="V72:V74"/>
    <mergeCell ref="G75:G77"/>
    <mergeCell ref="H75:H77"/>
    <mergeCell ref="J75:J77"/>
    <mergeCell ref="K75:K77"/>
    <mergeCell ref="S75:S77"/>
    <mergeCell ref="T75:T77"/>
    <mergeCell ref="U75:U77"/>
    <mergeCell ref="V75:V77"/>
    <mergeCell ref="G72:G74"/>
    <mergeCell ref="H72:H74"/>
    <mergeCell ref="J72:J74"/>
    <mergeCell ref="K72:K74"/>
    <mergeCell ref="S72:S74"/>
    <mergeCell ref="T72:T74"/>
    <mergeCell ref="V60:V62"/>
    <mergeCell ref="V63:V65"/>
    <mergeCell ref="G66:G68"/>
    <mergeCell ref="H66:H68"/>
    <mergeCell ref="J66:J68"/>
    <mergeCell ref="K66:K68"/>
    <mergeCell ref="S66:S68"/>
    <mergeCell ref="T66:T68"/>
    <mergeCell ref="U66:U68"/>
    <mergeCell ref="G63:G65"/>
    <mergeCell ref="H63:H65"/>
    <mergeCell ref="I63:I71"/>
    <mergeCell ref="J63:J65"/>
    <mergeCell ref="K63:K65"/>
    <mergeCell ref="S63:S65"/>
    <mergeCell ref="V66:V68"/>
    <mergeCell ref="G69:G71"/>
    <mergeCell ref="H69:H71"/>
    <mergeCell ref="J69:J71"/>
    <mergeCell ref="K69:K71"/>
    <mergeCell ref="S69:S71"/>
    <mergeCell ref="T69:T71"/>
    <mergeCell ref="U69:U71"/>
    <mergeCell ref="V69:V71"/>
    <mergeCell ref="V54:V56"/>
    <mergeCell ref="G57:G59"/>
    <mergeCell ref="H57:H59"/>
    <mergeCell ref="J57:J59"/>
    <mergeCell ref="K57:K59"/>
    <mergeCell ref="S57:S59"/>
    <mergeCell ref="T57:T59"/>
    <mergeCell ref="U57:U59"/>
    <mergeCell ref="C43:K43"/>
    <mergeCell ref="O43:V43"/>
    <mergeCell ref="G54:G56"/>
    <mergeCell ref="H54:H56"/>
    <mergeCell ref="I54:I62"/>
    <mergeCell ref="J54:J56"/>
    <mergeCell ref="K54:K56"/>
    <mergeCell ref="S54:S56"/>
    <mergeCell ref="V57:V59"/>
    <mergeCell ref="G60:G62"/>
    <mergeCell ref="H60:H62"/>
    <mergeCell ref="J60:J62"/>
    <mergeCell ref="K60:K62"/>
    <mergeCell ref="S60:S62"/>
    <mergeCell ref="T60:T62"/>
    <mergeCell ref="U60:U62"/>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C2E1F-1A48-B746-868A-F3867ACB3C12}">
  <dimension ref="A10:AQ210"/>
  <sheetViews>
    <sheetView topLeftCell="A70" zoomScale="70" zoomScaleNormal="70" workbookViewId="0">
      <selection activeCell="AG51" sqref="AG51"/>
    </sheetView>
  </sheetViews>
  <sheetFormatPr defaultColWidth="11" defaultRowHeight="15.6"/>
  <cols>
    <col min="1" max="1" width="6.5" customWidth="1"/>
    <col min="2" max="2" width="5" customWidth="1"/>
    <col min="7" max="7" width="3" customWidth="1"/>
  </cols>
  <sheetData>
    <row r="10" spans="1:42" ht="16.2" thickBot="1"/>
    <row r="11" spans="1:42">
      <c r="B11" s="920" t="s">
        <v>27</v>
      </c>
      <c r="C11" s="921"/>
      <c r="D11" s="921"/>
      <c r="E11" s="921"/>
      <c r="F11" s="921"/>
      <c r="G11" s="921"/>
      <c r="H11" s="921"/>
      <c r="I11" s="921"/>
      <c r="J11" s="921"/>
      <c r="K11" s="921"/>
      <c r="L11" s="921"/>
      <c r="M11" s="921"/>
      <c r="N11" s="921"/>
      <c r="O11" s="921"/>
      <c r="P11" s="921"/>
      <c r="Q11" s="921"/>
      <c r="R11" s="921"/>
      <c r="S11" s="922"/>
      <c r="U11" s="956" t="s">
        <v>28</v>
      </c>
      <c r="V11" s="957"/>
      <c r="W11" s="957"/>
      <c r="X11" s="957"/>
      <c r="Y11" s="957"/>
      <c r="Z11" s="957"/>
      <c r="AA11" s="957"/>
      <c r="AB11" s="957"/>
      <c r="AC11" s="957"/>
      <c r="AD11" s="957"/>
      <c r="AE11" s="957"/>
      <c r="AF11" s="957"/>
      <c r="AG11" s="957"/>
      <c r="AH11" s="957"/>
      <c r="AI11" s="957"/>
      <c r="AJ11" s="957"/>
      <c r="AK11" s="958"/>
    </row>
    <row r="12" spans="1:42" ht="16.2" thickBot="1">
      <c r="B12" s="923"/>
      <c r="C12" s="924"/>
      <c r="D12" s="924"/>
      <c r="E12" s="924"/>
      <c r="F12" s="924"/>
      <c r="G12" s="924"/>
      <c r="H12" s="924"/>
      <c r="I12" s="924"/>
      <c r="J12" s="924"/>
      <c r="K12" s="924"/>
      <c r="L12" s="924"/>
      <c r="M12" s="924"/>
      <c r="N12" s="924"/>
      <c r="O12" s="924"/>
      <c r="P12" s="924"/>
      <c r="Q12" s="924"/>
      <c r="R12" s="924"/>
      <c r="S12" s="925"/>
      <c r="U12" s="959"/>
      <c r="V12" s="960"/>
      <c r="W12" s="960"/>
      <c r="X12" s="960"/>
      <c r="Y12" s="960"/>
      <c r="Z12" s="960"/>
      <c r="AA12" s="960"/>
      <c r="AB12" s="960"/>
      <c r="AC12" s="960"/>
      <c r="AD12" s="960"/>
      <c r="AE12" s="960"/>
      <c r="AF12" s="960"/>
      <c r="AG12" s="960"/>
      <c r="AH12" s="960"/>
      <c r="AI12" s="960"/>
      <c r="AJ12" s="960"/>
      <c r="AK12" s="961"/>
    </row>
    <row r="13" spans="1:42" ht="16.2" thickBot="1">
      <c r="A13" s="191"/>
      <c r="B13" s="189"/>
      <c r="C13" s="894" t="s">
        <v>10</v>
      </c>
      <c r="D13" s="895"/>
      <c r="E13" s="895"/>
      <c r="F13" s="895"/>
      <c r="G13" s="895"/>
      <c r="H13" s="895"/>
      <c r="I13" s="895"/>
      <c r="J13" s="895"/>
      <c r="K13" s="895"/>
      <c r="L13" s="895"/>
      <c r="M13" s="895"/>
      <c r="N13" s="895"/>
      <c r="O13" s="895"/>
      <c r="P13" s="895"/>
      <c r="Q13" s="895"/>
      <c r="R13" s="895"/>
      <c r="S13" s="896"/>
      <c r="U13" s="418"/>
      <c r="V13" s="417"/>
      <c r="W13" s="417"/>
      <c r="X13" s="417"/>
      <c r="Y13" s="417"/>
      <c r="Z13" s="417"/>
      <c r="AA13" s="417"/>
      <c r="AB13" s="417"/>
      <c r="AC13" s="417"/>
      <c r="AD13" s="417"/>
      <c r="AE13" s="417"/>
      <c r="AF13" s="417"/>
      <c r="AG13" s="417"/>
      <c r="AH13" s="417"/>
      <c r="AI13" s="417"/>
      <c r="AJ13" s="417"/>
      <c r="AK13" s="421"/>
    </row>
    <row r="14" spans="1:42" ht="16.2" thickBot="1">
      <c r="A14" s="191"/>
      <c r="B14" s="189"/>
      <c r="C14" s="897" t="str">
        <f>Calculations_1!B54</f>
        <v>nsP3</v>
      </c>
      <c r="D14" s="898"/>
      <c r="E14" s="898"/>
      <c r="F14" s="898"/>
      <c r="G14" s="898"/>
      <c r="H14" s="898"/>
      <c r="I14" s="898"/>
      <c r="J14" s="898"/>
      <c r="K14" s="898"/>
      <c r="L14" s="898"/>
      <c r="M14" s="898"/>
      <c r="N14" s="898"/>
      <c r="O14" s="898"/>
      <c r="P14" s="898"/>
      <c r="Q14" s="898"/>
      <c r="R14" s="898"/>
      <c r="S14" s="899"/>
      <c r="U14" s="419"/>
      <c r="V14" s="417"/>
      <c r="W14" s="417"/>
      <c r="X14" s="417"/>
      <c r="Y14" s="417"/>
      <c r="Z14" s="417"/>
      <c r="AA14" s="417"/>
      <c r="AB14" s="417"/>
      <c r="AC14" s="417"/>
      <c r="AD14" s="417"/>
      <c r="AE14" s="417"/>
      <c r="AF14" s="417"/>
      <c r="AG14" s="417"/>
      <c r="AH14" s="417"/>
      <c r="AI14" s="417"/>
      <c r="AJ14" s="417"/>
      <c r="AK14" s="422"/>
    </row>
    <row r="15" spans="1:42" ht="16.8" thickBot="1">
      <c r="A15" s="192"/>
      <c r="B15" s="190"/>
      <c r="C15" s="5" t="s">
        <v>1</v>
      </c>
      <c r="D15" s="162" t="s">
        <v>8</v>
      </c>
      <c r="E15" s="163" t="s">
        <v>20</v>
      </c>
      <c r="F15" s="164" t="s">
        <v>21</v>
      </c>
      <c r="G15" s="188"/>
      <c r="H15" s="165" t="str">
        <f>(B16) &amp; "x"</f>
        <v>WT 24hx</v>
      </c>
      <c r="I15" s="166" t="str">
        <f>B16</f>
        <v>WT 24h</v>
      </c>
      <c r="J15" s="166" t="str">
        <f>B19 &amp; "x"</f>
        <v>Set 1 24hx</v>
      </c>
      <c r="K15" s="166" t="str">
        <f>B19</f>
        <v>Set 1 24h</v>
      </c>
      <c r="L15" s="166" t="str">
        <f>B22 &amp; "x"</f>
        <v>Set 2 24hx</v>
      </c>
      <c r="M15" s="166" t="str">
        <f>B22</f>
        <v>Set 2 24h</v>
      </c>
      <c r="N15" s="166" t="str">
        <f>B25 &amp; "x"</f>
        <v>Set 4 24hx</v>
      </c>
      <c r="O15" s="166" t="str">
        <f>B25</f>
        <v>Set 4 24h</v>
      </c>
      <c r="P15" s="166" t="str">
        <f>B28 &amp; "x"</f>
        <v>Set 5 24hx</v>
      </c>
      <c r="Q15" s="166" t="str">
        <f>B28</f>
        <v>Set 5 24h</v>
      </c>
      <c r="R15" s="166" t="str">
        <f>B31 &amp; "x"</f>
        <v>GFP 24hx</v>
      </c>
      <c r="S15" s="167" t="str">
        <f>B31</f>
        <v>GFP 24h</v>
      </c>
      <c r="U15" s="419"/>
      <c r="V15" s="417"/>
      <c r="W15" s="417"/>
      <c r="X15" s="417"/>
      <c r="Y15" s="417"/>
      <c r="Z15" s="417"/>
      <c r="AA15" s="417"/>
      <c r="AB15" s="417"/>
      <c r="AC15" s="417"/>
      <c r="AD15" s="417"/>
      <c r="AE15" s="417"/>
      <c r="AF15" s="417"/>
      <c r="AG15" s="417"/>
      <c r="AH15" s="417"/>
      <c r="AI15" s="417"/>
      <c r="AJ15" s="417"/>
      <c r="AK15" s="422"/>
      <c r="AN15" s="145"/>
      <c r="AO15" s="145"/>
      <c r="AP15" s="145"/>
    </row>
    <row r="16" spans="1:42" ht="16.2" thickBot="1">
      <c r="A16" s="150"/>
      <c r="B16" s="903" t="str">
        <f>Calculations_1!E3</f>
        <v>WT 24h</v>
      </c>
      <c r="C16" s="151" t="str">
        <f>Calculations_1!D54</f>
        <v>WT 24h</v>
      </c>
      <c r="D16" s="156">
        <f>Calculations_1!K54</f>
        <v>1.0649768848279992</v>
      </c>
      <c r="E16" s="886">
        <f>AVERAGE(D16:D18)</f>
        <v>1.0021497682695211</v>
      </c>
      <c r="F16" s="888">
        <f>STDEV(D16:D18)</f>
        <v>7.9383298111410747E-2</v>
      </c>
      <c r="G16" s="188"/>
      <c r="H16" s="168">
        <v>1.002</v>
      </c>
      <c r="I16" s="169">
        <f>D16</f>
        <v>1.0649768848279992</v>
      </c>
      <c r="J16" s="169">
        <v>2.0019999999999998</v>
      </c>
      <c r="K16" s="169">
        <f>D19</f>
        <v>0.41645960643024144</v>
      </c>
      <c r="L16" s="169">
        <v>3.0019999999999998</v>
      </c>
      <c r="M16" s="169">
        <f>D22</f>
        <v>0.18184729533706392</v>
      </c>
      <c r="N16" s="169">
        <v>4.0019999999999998</v>
      </c>
      <c r="O16" s="169">
        <f>D25</f>
        <v>0.20897491955851222</v>
      </c>
      <c r="P16" s="169">
        <v>5.0019999999999998</v>
      </c>
      <c r="Q16" s="169">
        <f>D28</f>
        <v>0.73749426602714252</v>
      </c>
      <c r="R16" s="169">
        <v>6.0019999999999998</v>
      </c>
      <c r="S16" s="170">
        <f>D31</f>
        <v>0.35605176271569849</v>
      </c>
      <c r="U16" s="420"/>
      <c r="V16" s="417"/>
      <c r="W16" s="417"/>
      <c r="X16" s="417"/>
      <c r="Y16" s="417"/>
      <c r="Z16" s="417"/>
      <c r="AA16" s="417"/>
      <c r="AB16" s="417"/>
      <c r="AC16" s="417"/>
      <c r="AD16" s="417"/>
      <c r="AE16" s="417"/>
      <c r="AF16" s="417"/>
      <c r="AG16" s="417"/>
      <c r="AH16" s="417"/>
      <c r="AI16" s="417"/>
      <c r="AJ16" s="417"/>
      <c r="AK16" s="423"/>
      <c r="AN16" s="19"/>
      <c r="AO16" s="665"/>
      <c r="AP16" s="147"/>
    </row>
    <row r="17" spans="1:42" ht="16.8" thickBot="1">
      <c r="A17" s="150"/>
      <c r="B17" s="904"/>
      <c r="C17" s="153" t="str">
        <f>Calculations_1!D57</f>
        <v>WT 24h</v>
      </c>
      <c r="D17" s="157">
        <f>Calculations_1!K57</f>
        <v>1.0285399563027453</v>
      </c>
      <c r="E17" s="886"/>
      <c r="F17" s="888"/>
      <c r="G17" s="188"/>
      <c r="H17" s="669">
        <v>1.002</v>
      </c>
      <c r="I17" s="173">
        <f>D17</f>
        <v>1.0285399563027453</v>
      </c>
      <c r="J17" s="173">
        <v>2.0019999999999998</v>
      </c>
      <c r="K17" s="173">
        <f>D20</f>
        <v>0.22882517416806944</v>
      </c>
      <c r="L17" s="173">
        <v>3.0019999999999998</v>
      </c>
      <c r="M17" s="173">
        <f>D23</f>
        <v>0.28511556899167234</v>
      </c>
      <c r="N17" s="173">
        <v>4.0019999999999998</v>
      </c>
      <c r="O17" s="173">
        <f>D26</f>
        <v>0.19003515898692047</v>
      </c>
      <c r="P17" s="173">
        <v>5.0019999999999998</v>
      </c>
      <c r="Q17" s="173">
        <f>D29</f>
        <v>0.59975175196635033</v>
      </c>
      <c r="R17" s="173">
        <v>6.0019999999999998</v>
      </c>
      <c r="S17" s="174">
        <f>D32</f>
        <v>0.71031173355441313</v>
      </c>
      <c r="U17" s="962" t="s">
        <v>24</v>
      </c>
      <c r="V17" s="963"/>
      <c r="W17" s="963"/>
      <c r="X17" s="963"/>
      <c r="Y17" s="963"/>
      <c r="Z17" s="963"/>
      <c r="AA17" s="963"/>
      <c r="AB17" s="964"/>
      <c r="AC17" s="417"/>
      <c r="AD17" s="962" t="s">
        <v>25</v>
      </c>
      <c r="AE17" s="963"/>
      <c r="AF17" s="963"/>
      <c r="AG17" s="963"/>
      <c r="AH17" s="963"/>
      <c r="AI17" s="963"/>
      <c r="AJ17" s="963"/>
      <c r="AK17" s="964"/>
      <c r="AN17" s="665"/>
      <c r="AP17" s="666"/>
    </row>
    <row r="18" spans="1:42" ht="17.100000000000001" customHeight="1" thickBot="1">
      <c r="A18" s="150"/>
      <c r="B18" s="905"/>
      <c r="C18" s="160" t="str">
        <f>Calculations_1!D60</f>
        <v>WT 24h</v>
      </c>
      <c r="D18" s="158">
        <f>Calculations_1!K60</f>
        <v>0.91293246367781822</v>
      </c>
      <c r="E18" s="887"/>
      <c r="F18" s="889"/>
      <c r="G18" s="188"/>
      <c r="H18" s="664">
        <v>1.002</v>
      </c>
      <c r="I18" s="171">
        <f>D18</f>
        <v>0.91293246367781822</v>
      </c>
      <c r="J18" s="171">
        <v>2.0019999999999998</v>
      </c>
      <c r="K18" s="171">
        <f>D21</f>
        <v>0.22624804071495339</v>
      </c>
      <c r="L18" s="171">
        <v>3.0019999999999998</v>
      </c>
      <c r="M18" s="171">
        <f>D24</f>
        <v>0.18354681961763783</v>
      </c>
      <c r="N18" s="171">
        <v>4.0019999999999998</v>
      </c>
      <c r="O18" s="171">
        <f>D27</f>
        <v>0.23706942787035645</v>
      </c>
      <c r="P18" s="171">
        <v>5.0019999999999998</v>
      </c>
      <c r="Q18" s="171">
        <f>D30</f>
        <v>0.41010839334156768</v>
      </c>
      <c r="R18" s="171">
        <v>6.0019999999999998</v>
      </c>
      <c r="S18" s="172">
        <f>D33</f>
        <v>0.50476947882741152</v>
      </c>
      <c r="U18" s="370"/>
      <c r="V18" s="371"/>
      <c r="W18" s="393" t="str">
        <f>Calculations_1!E3</f>
        <v>WT 24h</v>
      </c>
      <c r="X18" s="394" t="str">
        <f>Calculations_1!Q3</f>
        <v>Set 1 24h</v>
      </c>
      <c r="Y18" s="392" t="str">
        <f>Calculations_1!AB3</f>
        <v>Set 2 24h</v>
      </c>
      <c r="Z18" s="395" t="str">
        <f>Calculations_1!AM3</f>
        <v>Set 4 24h</v>
      </c>
      <c r="AA18" s="396" t="str">
        <f>Calculations_1!AX3</f>
        <v>Set 5 24h</v>
      </c>
      <c r="AB18" s="397" t="str">
        <f>Calculations_1!BI3</f>
        <v>GFP 24h</v>
      </c>
      <c r="AC18" s="417"/>
      <c r="AD18" s="370"/>
      <c r="AE18" s="371"/>
      <c r="AF18" s="393" t="str">
        <f>Calculations_1!E3</f>
        <v>WT 24h</v>
      </c>
      <c r="AG18" s="394" t="str">
        <f>Calculations_1!Q3</f>
        <v>Set 1 24h</v>
      </c>
      <c r="AH18" s="392" t="str">
        <f>Calculations_1!AB3</f>
        <v>Set 2 24h</v>
      </c>
      <c r="AI18" s="395" t="str">
        <f>Calculations_1!AM3</f>
        <v>Set 4 24h</v>
      </c>
      <c r="AJ18" s="396" t="str">
        <f>Calculations_1!AX3</f>
        <v>Set 5 24h</v>
      </c>
      <c r="AK18" s="397" t="str">
        <f>Calculations_1!BI3</f>
        <v>GFP 24h</v>
      </c>
      <c r="AN18" s="665"/>
      <c r="AP18" s="666"/>
    </row>
    <row r="19" spans="1:42" ht="16.2" thickBot="1">
      <c r="B19" s="883" t="str">
        <f>Calculations_1!Q3</f>
        <v>Set 1 24h</v>
      </c>
      <c r="C19" s="154" t="str">
        <f>Calculations_1!P54</f>
        <v>Set 1 24h</v>
      </c>
      <c r="D19" s="161">
        <f>Calculations_1!V54</f>
        <v>0.41645960643024144</v>
      </c>
      <c r="E19" s="886">
        <f>AVERAGE(D19:D21)</f>
        <v>0.29051094043775477</v>
      </c>
      <c r="F19" s="888">
        <f>STDEV(D19:D21)</f>
        <v>0.10908235537049071</v>
      </c>
      <c r="G19" s="187"/>
      <c r="H19" s="187"/>
      <c r="I19" s="187"/>
      <c r="J19" s="187"/>
      <c r="K19" s="187"/>
      <c r="L19" s="187"/>
      <c r="M19" s="187"/>
      <c r="N19" s="187"/>
      <c r="O19" s="187"/>
      <c r="P19" s="187"/>
      <c r="Q19" s="187"/>
      <c r="R19" s="187"/>
      <c r="S19" s="193"/>
      <c r="U19" s="372" t="s">
        <v>10</v>
      </c>
      <c r="V19" s="373" t="str">
        <f>C14</f>
        <v>nsP3</v>
      </c>
      <c r="W19" s="374">
        <f>I21</f>
        <v>1.0021497682695211</v>
      </c>
      <c r="X19" s="374">
        <f>J21</f>
        <v>0.29051094043775477</v>
      </c>
      <c r="Y19" s="374">
        <f t="shared" ref="Y19:AB19" si="0">K21</f>
        <v>0.21683656131545803</v>
      </c>
      <c r="Z19" s="374">
        <f t="shared" si="0"/>
        <v>0.21202650213859639</v>
      </c>
      <c r="AA19" s="374">
        <f t="shared" si="0"/>
        <v>0.58245147044502021</v>
      </c>
      <c r="AB19" s="375">
        <f t="shared" si="0"/>
        <v>0.52371099169917434</v>
      </c>
      <c r="AC19" s="417"/>
      <c r="AD19" s="372" t="s">
        <v>10</v>
      </c>
      <c r="AE19" s="373" t="str">
        <f>C14</f>
        <v>nsP3</v>
      </c>
      <c r="AF19" s="374">
        <f>I22</f>
        <v>7.9383298111410747E-2</v>
      </c>
      <c r="AG19" s="374">
        <f t="shared" ref="AG19:AK19" si="1">J22</f>
        <v>0.10908235537049071</v>
      </c>
      <c r="AH19" s="374">
        <f t="shared" si="1"/>
        <v>5.9137460738786132E-2</v>
      </c>
      <c r="AI19" s="374">
        <f t="shared" si="1"/>
        <v>2.3665158557088593E-2</v>
      </c>
      <c r="AJ19" s="374">
        <f t="shared" si="1"/>
        <v>0.16437716451521414</v>
      </c>
      <c r="AK19" s="375">
        <f t="shared" si="1"/>
        <v>0.17788793499578642</v>
      </c>
      <c r="AN19" s="665"/>
      <c r="AP19" s="666"/>
    </row>
    <row r="20" spans="1:42" ht="16.2" thickBot="1">
      <c r="B20" s="884"/>
      <c r="C20" s="155" t="str">
        <f>Calculations_1!P57</f>
        <v>Set 1 24h</v>
      </c>
      <c r="D20" s="157">
        <f>Calculations_1!V57</f>
        <v>0.22882517416806944</v>
      </c>
      <c r="E20" s="886"/>
      <c r="F20" s="888"/>
      <c r="G20" s="187"/>
      <c r="H20" s="175"/>
      <c r="I20" s="176" t="str">
        <f>B16</f>
        <v>WT 24h</v>
      </c>
      <c r="J20" s="177" t="str">
        <f>B19</f>
        <v>Set 1 24h</v>
      </c>
      <c r="K20" s="177" t="str">
        <f>B22</f>
        <v>Set 2 24h</v>
      </c>
      <c r="L20" s="177" t="str">
        <f>B25</f>
        <v>Set 4 24h</v>
      </c>
      <c r="M20" s="177" t="str">
        <f>B28</f>
        <v>Set 5 24h</v>
      </c>
      <c r="N20" s="178" t="str">
        <f>B31</f>
        <v>GFP 24h</v>
      </c>
      <c r="O20" s="187"/>
      <c r="P20" s="187"/>
      <c r="Q20" s="187"/>
      <c r="R20" s="187"/>
      <c r="S20" s="193"/>
      <c r="U20" s="376" t="s">
        <v>11</v>
      </c>
      <c r="V20" s="377" t="str">
        <f>C54</f>
        <v>GFP</v>
      </c>
      <c r="W20" s="378">
        <f>I61</f>
        <v>1.0037239724479761</v>
      </c>
      <c r="X20" s="378">
        <f t="shared" ref="X20:AB20" si="2">J61</f>
        <v>0.45288131510533497</v>
      </c>
      <c r="Y20" s="378">
        <f t="shared" si="2"/>
        <v>0.31368926703737471</v>
      </c>
      <c r="Z20" s="378">
        <f t="shared" si="2"/>
        <v>0.81987006953240948</v>
      </c>
      <c r="AA20" s="378">
        <f t="shared" si="2"/>
        <v>1.0299547829501032</v>
      </c>
      <c r="AB20" s="379">
        <f t="shared" si="2"/>
        <v>0.1668414759448538</v>
      </c>
      <c r="AC20" s="417"/>
      <c r="AD20" s="376" t="s">
        <v>11</v>
      </c>
      <c r="AE20" s="377" t="str">
        <f>C54</f>
        <v>GFP</v>
      </c>
      <c r="AF20" s="378">
        <f>I62</f>
        <v>0.10369400687210692</v>
      </c>
      <c r="AG20" s="378">
        <f t="shared" ref="AG20:AK20" si="3">J62</f>
        <v>0.21690839768847345</v>
      </c>
      <c r="AH20" s="378">
        <f t="shared" si="3"/>
        <v>8.0149349843110732E-3</v>
      </c>
      <c r="AI20" s="378">
        <f t="shared" si="3"/>
        <v>5.3682216815091728E-2</v>
      </c>
      <c r="AJ20" s="378">
        <f t="shared" si="3"/>
        <v>0.67235077653351372</v>
      </c>
      <c r="AK20" s="379">
        <f t="shared" si="3"/>
        <v>6.3088649275982789E-2</v>
      </c>
      <c r="AN20" s="665"/>
      <c r="AP20" s="666"/>
    </row>
    <row r="21" spans="1:42" ht="16.8" thickBot="1">
      <c r="B21" s="885"/>
      <c r="C21" s="62" t="str">
        <f>Calculations_1!P60</f>
        <v>Set 1 24h</v>
      </c>
      <c r="D21" s="158">
        <f>Calculations_1!V60</f>
        <v>0.22624804071495339</v>
      </c>
      <c r="E21" s="887"/>
      <c r="F21" s="889"/>
      <c r="G21" s="187"/>
      <c r="H21" s="185" t="s">
        <v>22</v>
      </c>
      <c r="I21" s="179">
        <f>E16</f>
        <v>1.0021497682695211</v>
      </c>
      <c r="J21" s="180">
        <f>E19</f>
        <v>0.29051094043775477</v>
      </c>
      <c r="K21" s="180">
        <f>E22</f>
        <v>0.21683656131545803</v>
      </c>
      <c r="L21" s="180">
        <f>E25</f>
        <v>0.21202650213859639</v>
      </c>
      <c r="M21" s="180">
        <f>E28</f>
        <v>0.58245147044502021</v>
      </c>
      <c r="N21" s="181">
        <f>E31</f>
        <v>0.52371099169917434</v>
      </c>
      <c r="O21" s="187"/>
      <c r="P21" s="187"/>
      <c r="Q21" s="187"/>
      <c r="R21" s="187"/>
      <c r="S21" s="193"/>
      <c r="U21" s="380" t="s">
        <v>12</v>
      </c>
      <c r="V21" s="381" t="str">
        <f>C94</f>
        <v>RIG1</v>
      </c>
      <c r="W21" s="382">
        <f>I101</f>
        <v>1.0022225443202852</v>
      </c>
      <c r="X21" s="382">
        <f t="shared" ref="X21:AB21" si="4">J101</f>
        <v>0.16694846771356711</v>
      </c>
      <c r="Y21" s="382">
        <f t="shared" si="4"/>
        <v>0.20795825419615699</v>
      </c>
      <c r="Z21" s="382">
        <f t="shared" si="4"/>
        <v>0.17976850157185656</v>
      </c>
      <c r="AA21" s="382">
        <f t="shared" si="4"/>
        <v>0.33544116233186988</v>
      </c>
      <c r="AB21" s="383">
        <f t="shared" si="4"/>
        <v>1.1604318150060513</v>
      </c>
      <c r="AC21" s="417"/>
      <c r="AD21" s="380" t="s">
        <v>12</v>
      </c>
      <c r="AE21" s="381" t="str">
        <f>C94</f>
        <v>RIG1</v>
      </c>
      <c r="AF21" s="382">
        <f>I102</f>
        <v>8.2968365721510257E-2</v>
      </c>
      <c r="AG21" s="382">
        <f t="shared" ref="AG21:AK21" si="5">J102</f>
        <v>1.8962507789808226E-2</v>
      </c>
      <c r="AH21" s="382">
        <f t="shared" si="5"/>
        <v>1.4103057952578957E-2</v>
      </c>
      <c r="AI21" s="382">
        <f t="shared" si="5"/>
        <v>3.9527591177183165E-2</v>
      </c>
      <c r="AJ21" s="382">
        <f t="shared" si="5"/>
        <v>0.1829460303106627</v>
      </c>
      <c r="AK21" s="383">
        <f t="shared" si="5"/>
        <v>2.5979459872460864E-2</v>
      </c>
      <c r="AN21" s="667"/>
      <c r="AP21" s="1"/>
    </row>
    <row r="22" spans="1:42" ht="15.9" customHeight="1" thickBot="1">
      <c r="B22" s="883" t="str">
        <f>Calculations_1!AB3</f>
        <v>Set 2 24h</v>
      </c>
      <c r="C22" s="152" t="str">
        <f>Calculations_1!AA54</f>
        <v>Set 2 24h</v>
      </c>
      <c r="D22" s="159">
        <f>Calculations_1!AG54</f>
        <v>0.18184729533706392</v>
      </c>
      <c r="E22" s="886">
        <f>AVERAGE(D22:D24)</f>
        <v>0.21683656131545803</v>
      </c>
      <c r="F22" s="888">
        <f>STDEV(D22:D24)</f>
        <v>5.9137460738786132E-2</v>
      </c>
      <c r="G22" s="187"/>
      <c r="H22" s="186" t="s">
        <v>23</v>
      </c>
      <c r="I22" s="182">
        <f>F16</f>
        <v>7.9383298111410747E-2</v>
      </c>
      <c r="J22" s="183">
        <f>F19</f>
        <v>0.10908235537049071</v>
      </c>
      <c r="K22" s="183">
        <f>F22</f>
        <v>5.9137460738786132E-2</v>
      </c>
      <c r="L22" s="183">
        <f>F25</f>
        <v>2.3665158557088593E-2</v>
      </c>
      <c r="M22" s="183">
        <f>F28</f>
        <v>0.16437716451521414</v>
      </c>
      <c r="N22" s="184">
        <f>F31</f>
        <v>0.17788793499578642</v>
      </c>
      <c r="O22" s="187"/>
      <c r="P22" s="187"/>
      <c r="Q22" s="187"/>
      <c r="R22" s="187"/>
      <c r="S22" s="193"/>
      <c r="U22" s="384" t="s">
        <v>14</v>
      </c>
      <c r="V22" s="385" t="str">
        <f>C134</f>
        <v>MDA5</v>
      </c>
      <c r="W22" s="386">
        <f>I141</f>
        <v>1.0141265842032856</v>
      </c>
      <c r="X22" s="386">
        <f t="shared" ref="X22:AB22" si="6">J141</f>
        <v>0.10527145563470469</v>
      </c>
      <c r="Y22" s="386">
        <f t="shared" si="6"/>
        <v>0.28758416938531267</v>
      </c>
      <c r="Z22" s="386">
        <f t="shared" si="6"/>
        <v>3.7186731496743737E-2</v>
      </c>
      <c r="AA22" s="386">
        <f t="shared" si="6"/>
        <v>5.3383020170898458E-2</v>
      </c>
      <c r="AB22" s="387">
        <f t="shared" si="6"/>
        <v>2.1024135187859301</v>
      </c>
      <c r="AC22" s="417"/>
      <c r="AD22" s="384" t="s">
        <v>14</v>
      </c>
      <c r="AE22" s="385" t="str">
        <f>C134</f>
        <v>MDA5</v>
      </c>
      <c r="AF22" s="386">
        <f>I142</f>
        <v>0.21143866708147527</v>
      </c>
      <c r="AG22" s="386">
        <f t="shared" ref="AG22:AK22" si="7">J142</f>
        <v>3.9558395467272002E-2</v>
      </c>
      <c r="AH22" s="386">
        <f t="shared" si="7"/>
        <v>4.1113971217373708E-2</v>
      </c>
      <c r="AI22" s="386">
        <f t="shared" si="7"/>
        <v>1.2095650110098371E-2</v>
      </c>
      <c r="AJ22" s="386">
        <f t="shared" si="7"/>
        <v>4.5971733729839245E-2</v>
      </c>
      <c r="AK22" s="387">
        <f t="shared" si="7"/>
        <v>8.4450380705903855E-2</v>
      </c>
      <c r="AN22" s="667"/>
      <c r="AP22" s="1"/>
    </row>
    <row r="23" spans="1:42" ht="16.2" thickBot="1">
      <c r="B23" s="884"/>
      <c r="C23" s="155" t="str">
        <f>Calculations_1!AA57</f>
        <v>Set 2 24h</v>
      </c>
      <c r="D23" s="157">
        <f>Calculations_1!AG57</f>
        <v>0.28511556899167234</v>
      </c>
      <c r="E23" s="886"/>
      <c r="F23" s="888"/>
      <c r="G23" s="187"/>
      <c r="H23" s="187"/>
      <c r="I23" s="187"/>
      <c r="J23" s="187"/>
      <c r="K23" s="187"/>
      <c r="L23" s="187"/>
      <c r="M23" s="187"/>
      <c r="N23" s="187"/>
      <c r="O23" s="187"/>
      <c r="P23" s="187"/>
      <c r="Q23" s="187"/>
      <c r="R23" s="187"/>
      <c r="S23" s="193"/>
      <c r="U23" s="388" t="s">
        <v>15</v>
      </c>
      <c r="V23" s="389" t="str">
        <f>C174</f>
        <v>IFIT</v>
      </c>
      <c r="W23" s="390">
        <f>I181</f>
        <v>1.0078069386399011</v>
      </c>
      <c r="X23" s="390">
        <f t="shared" ref="X23:AB23" si="8">J181</f>
        <v>0.24685267379990419</v>
      </c>
      <c r="Y23" s="390">
        <f t="shared" si="8"/>
        <v>0.60513266257053122</v>
      </c>
      <c r="Z23" s="390">
        <f t="shared" si="8"/>
        <v>0.31041228947102278</v>
      </c>
      <c r="AA23" s="390">
        <f t="shared" si="8"/>
        <v>0.30104996684032032</v>
      </c>
      <c r="AB23" s="391">
        <f t="shared" si="8"/>
        <v>2.0210197374337837</v>
      </c>
      <c r="AC23" s="417"/>
      <c r="AD23" s="388" t="s">
        <v>15</v>
      </c>
      <c r="AE23" s="389" t="str">
        <f>C174</f>
        <v>IFIT</v>
      </c>
      <c r="AF23" s="390">
        <f>I182</f>
        <v>0.15605651889395658</v>
      </c>
      <c r="AG23" s="390">
        <f t="shared" ref="AG23:AK23" si="9">J182</f>
        <v>8.1462642184160522E-2</v>
      </c>
      <c r="AH23" s="390">
        <f t="shared" si="9"/>
        <v>0.12478129778287836</v>
      </c>
      <c r="AI23" s="390">
        <f t="shared" si="9"/>
        <v>0.11411621478252502</v>
      </c>
      <c r="AJ23" s="390">
        <f t="shared" si="9"/>
        <v>0.12035984291892513</v>
      </c>
      <c r="AK23" s="391">
        <f t="shared" si="9"/>
        <v>0.13014608696734187</v>
      </c>
      <c r="AO23" s="147"/>
      <c r="AP23" s="668"/>
    </row>
    <row r="24" spans="1:42" ht="16.2" thickBot="1">
      <c r="B24" s="885"/>
      <c r="C24" s="151" t="str">
        <f>Calculations_1!AA60</f>
        <v>Set 2 24h</v>
      </c>
      <c r="D24" s="158">
        <f>Calculations_1!AG60</f>
        <v>0.18354681961763783</v>
      </c>
      <c r="E24" s="887"/>
      <c r="F24" s="889"/>
      <c r="G24" s="187"/>
      <c r="H24" s="187"/>
      <c r="I24" s="187"/>
      <c r="J24" s="187"/>
      <c r="K24" s="187"/>
      <c r="L24" s="187"/>
      <c r="M24" s="187"/>
      <c r="N24" s="187"/>
      <c r="O24" s="187"/>
      <c r="P24" s="187"/>
      <c r="Q24" s="187"/>
      <c r="R24" s="187"/>
      <c r="S24" s="193"/>
      <c r="U24" s="418"/>
      <c r="V24" s="417"/>
      <c r="W24" s="417"/>
      <c r="X24" s="417"/>
      <c r="Y24" s="417"/>
      <c r="Z24" s="417"/>
      <c r="AA24" s="417"/>
      <c r="AB24" s="417"/>
      <c r="AC24" s="417"/>
      <c r="AD24" s="417"/>
      <c r="AE24" s="417"/>
      <c r="AF24" s="417"/>
      <c r="AG24" s="417"/>
      <c r="AH24" s="417"/>
      <c r="AI24" s="424"/>
      <c r="AJ24" s="424"/>
      <c r="AK24" s="421"/>
      <c r="AN24" s="665"/>
      <c r="AO24" s="666"/>
    </row>
    <row r="25" spans="1:42" ht="15.9" customHeight="1">
      <c r="B25" s="883" t="str">
        <f>Calculations_1!AM3</f>
        <v>Set 4 24h</v>
      </c>
      <c r="C25" s="154" t="str">
        <f>Calculations_1!AL54</f>
        <v>Set 4 24h</v>
      </c>
      <c r="D25" s="159">
        <f>Calculations_1!AR54</f>
        <v>0.20897491955851222</v>
      </c>
      <c r="E25" s="886">
        <f>AVERAGE(D25:D27)</f>
        <v>0.21202650213859639</v>
      </c>
      <c r="F25" s="888">
        <f>STDEV(D25:D27)</f>
        <v>2.3665158557088593E-2</v>
      </c>
      <c r="G25" s="187"/>
      <c r="H25" s="187"/>
      <c r="I25" s="187"/>
      <c r="J25" s="187"/>
      <c r="K25" s="187"/>
      <c r="L25" s="187"/>
      <c r="M25" s="187"/>
      <c r="N25" s="187"/>
      <c r="O25" s="187"/>
      <c r="P25" s="187"/>
      <c r="Q25" s="187"/>
      <c r="R25" s="187"/>
      <c r="S25" s="193"/>
      <c r="U25" s="419"/>
      <c r="V25" s="417"/>
      <c r="W25" s="417"/>
      <c r="X25" s="417"/>
      <c r="Y25" s="417"/>
      <c r="Z25" s="417"/>
      <c r="AA25" s="417"/>
      <c r="AB25" s="417"/>
      <c r="AC25" s="417"/>
      <c r="AD25" s="417"/>
      <c r="AE25" s="417"/>
      <c r="AF25" s="417"/>
      <c r="AG25" s="417"/>
      <c r="AH25" s="417"/>
      <c r="AI25" s="417"/>
      <c r="AJ25" s="417"/>
      <c r="AK25" s="422"/>
      <c r="AN25" s="665"/>
      <c r="AO25" s="666"/>
    </row>
    <row r="26" spans="1:42">
      <c r="B26" s="884"/>
      <c r="C26" s="155" t="str">
        <f>Calculations_1!AL57</f>
        <v>Set 4 24h</v>
      </c>
      <c r="D26" s="157">
        <f>Calculations_1!AR57</f>
        <v>0.19003515898692047</v>
      </c>
      <c r="E26" s="886"/>
      <c r="F26" s="888"/>
      <c r="G26" s="187"/>
      <c r="H26" s="187"/>
      <c r="I26" s="187"/>
      <c r="J26" s="187"/>
      <c r="K26" s="187"/>
      <c r="L26" s="187"/>
      <c r="M26" s="187"/>
      <c r="N26" s="187"/>
      <c r="O26" s="187"/>
      <c r="P26" s="187"/>
      <c r="Q26" s="187"/>
      <c r="R26" s="187"/>
      <c r="S26" s="193"/>
      <c r="U26" s="419"/>
      <c r="V26" s="417"/>
      <c r="W26" s="417"/>
      <c r="X26" s="417"/>
      <c r="Y26" s="417"/>
      <c r="Z26" s="417"/>
      <c r="AA26" s="417"/>
      <c r="AB26" s="417"/>
      <c r="AC26" s="417"/>
      <c r="AD26" s="417"/>
      <c r="AE26" s="417"/>
      <c r="AF26" s="417"/>
      <c r="AG26" s="417"/>
      <c r="AH26" s="417"/>
      <c r="AI26" s="417"/>
      <c r="AJ26" s="417"/>
      <c r="AK26" s="422"/>
      <c r="AN26" s="665"/>
      <c r="AO26" s="666"/>
    </row>
    <row r="27" spans="1:42" ht="16.2" thickBot="1">
      <c r="B27" s="885"/>
      <c r="C27" s="151" t="str">
        <f>Calculations_1!AL60</f>
        <v>Set 4 24h</v>
      </c>
      <c r="D27" s="158">
        <f>Calculations_1!AR60</f>
        <v>0.23706942787035645</v>
      </c>
      <c r="E27" s="887"/>
      <c r="F27" s="889"/>
      <c r="G27" s="187"/>
      <c r="H27" s="187"/>
      <c r="I27" s="187"/>
      <c r="J27" s="187"/>
      <c r="K27" s="187"/>
      <c r="L27" s="187"/>
      <c r="M27" s="187"/>
      <c r="N27" s="187"/>
      <c r="O27" s="187"/>
      <c r="P27" s="187"/>
      <c r="Q27" s="187"/>
      <c r="R27" s="187"/>
      <c r="S27" s="193"/>
      <c r="U27" s="420"/>
      <c r="V27" s="417"/>
      <c r="W27" s="417"/>
      <c r="X27" s="417"/>
      <c r="Y27" s="417"/>
      <c r="Z27" s="417"/>
      <c r="AA27" s="417"/>
      <c r="AB27" s="417"/>
      <c r="AC27" s="417"/>
      <c r="AD27" s="417"/>
      <c r="AE27" s="417"/>
      <c r="AF27" s="417"/>
      <c r="AG27" s="417"/>
      <c r="AH27" s="417"/>
      <c r="AI27" s="417"/>
      <c r="AJ27" s="417"/>
      <c r="AK27" s="422"/>
      <c r="AN27" s="665"/>
      <c r="AO27" s="666"/>
    </row>
    <row r="28" spans="1:42" ht="15.9" customHeight="1" thickBot="1">
      <c r="B28" s="883" t="str">
        <f>Calculations_1!AX3</f>
        <v>Set 5 24h</v>
      </c>
      <c r="C28" s="154" t="str">
        <f>Calculations_1!AW54</f>
        <v>Set 5 24h</v>
      </c>
      <c r="D28" s="159">
        <f>Calculations_1!BC54</f>
        <v>0.73749426602714252</v>
      </c>
      <c r="E28" s="886">
        <f>AVERAGE(D28:D30)</f>
        <v>0.58245147044502021</v>
      </c>
      <c r="F28" s="888">
        <f>STDEV(D28:D30)</f>
        <v>0.16437716451521414</v>
      </c>
      <c r="G28" s="187"/>
      <c r="H28" s="187"/>
      <c r="I28" s="187"/>
      <c r="J28" s="187"/>
      <c r="K28" s="187"/>
      <c r="L28" s="187"/>
      <c r="M28" s="187"/>
      <c r="N28" s="187"/>
      <c r="O28" s="187"/>
      <c r="P28" s="187"/>
      <c r="Q28" s="187"/>
      <c r="R28" s="187"/>
      <c r="S28" s="193"/>
      <c r="U28" s="989"/>
      <c r="V28" s="990"/>
      <c r="W28" s="404" t="str">
        <f>X28 &amp; "x"</f>
        <v>WT 24hx</v>
      </c>
      <c r="X28" s="398" t="str">
        <f>Calculations_1!E3</f>
        <v>WT 24h</v>
      </c>
      <c r="Y28" s="399" t="str">
        <f>Z28 &amp; "x"</f>
        <v>Set 1 24hx</v>
      </c>
      <c r="Z28" s="399" t="str">
        <f>Calculations_1!Q3</f>
        <v>Set 1 24h</v>
      </c>
      <c r="AA28" s="400" t="str">
        <f>AB28 &amp; "x"</f>
        <v>Set 2 24hx</v>
      </c>
      <c r="AB28" s="400" t="str">
        <f>Calculations_1!AB3</f>
        <v>Set 2 24h</v>
      </c>
      <c r="AC28" s="401" t="str">
        <f>AD28 &amp; "x"</f>
        <v>Set 4 24hx</v>
      </c>
      <c r="AD28" s="401" t="str">
        <f>Calculations_1!AM3</f>
        <v>Set 4 24h</v>
      </c>
      <c r="AE28" s="402" t="str">
        <f>AF28 &amp; "x"</f>
        <v>Set 5 24hx</v>
      </c>
      <c r="AF28" s="402" t="str">
        <f>Calculations_1!AX3</f>
        <v>Set 5 24h</v>
      </c>
      <c r="AG28" s="405" t="str">
        <f>AH28 &amp; "x"</f>
        <v>GFP 24hx</v>
      </c>
      <c r="AH28" s="403" t="str">
        <f>Calculations_1!BI3</f>
        <v>GFP 24h</v>
      </c>
      <c r="AI28" s="417"/>
      <c r="AJ28" s="417"/>
      <c r="AK28" s="422"/>
      <c r="AN28" s="667"/>
      <c r="AO28" s="1"/>
      <c r="AP28" s="1"/>
    </row>
    <row r="29" spans="1:42">
      <c r="B29" s="884"/>
      <c r="C29" s="155" t="str">
        <f>Calculations_1!AW57</f>
        <v>Set 5 24h</v>
      </c>
      <c r="D29" s="157">
        <f>Calculations_1!BC57</f>
        <v>0.59975175196635033</v>
      </c>
      <c r="E29" s="886"/>
      <c r="F29" s="888"/>
      <c r="G29" s="187"/>
      <c r="H29" s="187"/>
      <c r="I29" s="187"/>
      <c r="J29" s="187"/>
      <c r="K29" s="187"/>
      <c r="L29" s="187"/>
      <c r="M29" s="187"/>
      <c r="N29" s="187"/>
      <c r="O29" s="187"/>
      <c r="P29" s="187"/>
      <c r="Q29" s="187"/>
      <c r="R29" s="187"/>
      <c r="S29" s="193"/>
      <c r="U29" s="965" t="s">
        <v>10</v>
      </c>
      <c r="V29" s="968" t="str">
        <f>C14</f>
        <v>nsP3</v>
      </c>
      <c r="W29" s="414">
        <v>0.69469999999999998</v>
      </c>
      <c r="X29" s="415">
        <f>I16</f>
        <v>1.0649768848279992</v>
      </c>
      <c r="Y29" s="415">
        <f t="shared" ref="Y29:Y43" si="10">W29+1</f>
        <v>1.6947000000000001</v>
      </c>
      <c r="Z29" s="415">
        <f t="shared" ref="Z29:AH29" si="11">K16</f>
        <v>0.41645960643024144</v>
      </c>
      <c r="AA29" s="415">
        <f>W29+2</f>
        <v>2.6947000000000001</v>
      </c>
      <c r="AB29" s="415">
        <f t="shared" si="11"/>
        <v>0.18184729533706392</v>
      </c>
      <c r="AC29" s="415">
        <f t="shared" ref="AC29:AC43" si="12">3+W29</f>
        <v>3.6947000000000001</v>
      </c>
      <c r="AD29" s="415">
        <f t="shared" si="11"/>
        <v>0.20897491955851222</v>
      </c>
      <c r="AE29" s="415">
        <f t="shared" ref="AE29:AE43" si="13">4+W29</f>
        <v>4.6947000000000001</v>
      </c>
      <c r="AF29" s="415">
        <f t="shared" si="11"/>
        <v>0.73749426602714252</v>
      </c>
      <c r="AG29" s="415">
        <f t="shared" ref="AG29:AG43" si="14">5+W29</f>
        <v>5.6947000000000001</v>
      </c>
      <c r="AH29" s="416">
        <f t="shared" si="11"/>
        <v>0.35605176271569849</v>
      </c>
      <c r="AI29" s="417"/>
      <c r="AJ29" s="417"/>
      <c r="AK29" s="422"/>
      <c r="AN29" s="667"/>
      <c r="AO29" s="1"/>
      <c r="AP29" s="1"/>
    </row>
    <row r="30" spans="1:42" ht="16.2" thickBot="1">
      <c r="B30" s="885"/>
      <c r="C30" s="151" t="str">
        <f>Calculations_1!AW60</f>
        <v>Set 5 24h</v>
      </c>
      <c r="D30" s="158">
        <f>Calculations_1!BC60</f>
        <v>0.41010839334156768</v>
      </c>
      <c r="E30" s="887"/>
      <c r="F30" s="889"/>
      <c r="G30" s="187"/>
      <c r="H30" s="187"/>
      <c r="I30" s="187"/>
      <c r="J30" s="187"/>
      <c r="K30" s="187"/>
      <c r="L30" s="187"/>
      <c r="M30" s="187"/>
      <c r="N30" s="187"/>
      <c r="O30" s="187"/>
      <c r="P30" s="187"/>
      <c r="Q30" s="187"/>
      <c r="R30" s="187"/>
      <c r="S30" s="193"/>
      <c r="U30" s="966"/>
      <c r="V30" s="969"/>
      <c r="W30" s="407">
        <f>W29</f>
        <v>0.69469999999999998</v>
      </c>
      <c r="X30" s="408">
        <f>I17</f>
        <v>1.0285399563027453</v>
      </c>
      <c r="Y30" s="408">
        <f t="shared" si="10"/>
        <v>1.6947000000000001</v>
      </c>
      <c r="Z30" s="408">
        <f t="shared" ref="Z30:AH31" si="15">K17</f>
        <v>0.22882517416806944</v>
      </c>
      <c r="AA30" s="408">
        <f>W30+2</f>
        <v>2.6947000000000001</v>
      </c>
      <c r="AB30" s="408">
        <f t="shared" si="15"/>
        <v>0.28511556899167234</v>
      </c>
      <c r="AC30" s="408">
        <f t="shared" si="12"/>
        <v>3.6947000000000001</v>
      </c>
      <c r="AD30" s="408">
        <f t="shared" si="15"/>
        <v>0.19003515898692047</v>
      </c>
      <c r="AE30" s="408">
        <f t="shared" si="13"/>
        <v>4.6947000000000001</v>
      </c>
      <c r="AF30" s="408">
        <f t="shared" si="15"/>
        <v>0.59975175196635033</v>
      </c>
      <c r="AG30" s="408">
        <f t="shared" si="14"/>
        <v>5.6947000000000001</v>
      </c>
      <c r="AH30" s="410">
        <f t="shared" si="15"/>
        <v>0.71031173355441313</v>
      </c>
      <c r="AI30" s="417"/>
      <c r="AJ30" s="417"/>
      <c r="AK30" s="422"/>
      <c r="AN30" s="1"/>
      <c r="AO30" s="147"/>
      <c r="AP30" s="147"/>
    </row>
    <row r="31" spans="1:42" ht="15.9" customHeight="1" thickBot="1">
      <c r="B31" s="883" t="str">
        <f>Calculations_1!BI3</f>
        <v>GFP 24h</v>
      </c>
      <c r="C31" s="154" t="str">
        <f>Calculations_1!BH54</f>
        <v>GFP 24h</v>
      </c>
      <c r="D31" s="159">
        <f>Calculations_1!BN54</f>
        <v>0.35605176271569849</v>
      </c>
      <c r="E31" s="886">
        <f>AVERAGE(D31:D33)</f>
        <v>0.52371099169917434</v>
      </c>
      <c r="F31" s="888">
        <f>STDEV(D31:D33)</f>
        <v>0.17788793499578642</v>
      </c>
      <c r="G31" s="187"/>
      <c r="H31" s="187"/>
      <c r="I31" s="187"/>
      <c r="J31" s="187"/>
      <c r="K31" s="187"/>
      <c r="L31" s="187"/>
      <c r="M31" s="187"/>
      <c r="N31" s="187"/>
      <c r="O31" s="187"/>
      <c r="P31" s="187"/>
      <c r="Q31" s="187"/>
      <c r="R31" s="187"/>
      <c r="S31" s="193"/>
      <c r="U31" s="967"/>
      <c r="V31" s="970"/>
      <c r="W31" s="168">
        <f>W29</f>
        <v>0.69469999999999998</v>
      </c>
      <c r="X31" s="169">
        <f t="shared" ref="X31" si="16">I18</f>
        <v>0.91293246367781822</v>
      </c>
      <c r="Y31" s="169">
        <f t="shared" si="10"/>
        <v>1.6947000000000001</v>
      </c>
      <c r="Z31" s="169">
        <f t="shared" si="15"/>
        <v>0.22624804071495339</v>
      </c>
      <c r="AA31" s="169">
        <f>W31+2</f>
        <v>2.6947000000000001</v>
      </c>
      <c r="AB31" s="169">
        <f t="shared" si="15"/>
        <v>0.18354681961763783</v>
      </c>
      <c r="AC31" s="169">
        <f t="shared" si="12"/>
        <v>3.6947000000000001</v>
      </c>
      <c r="AD31" s="169">
        <f t="shared" si="15"/>
        <v>0.23706942787035645</v>
      </c>
      <c r="AE31" s="169">
        <f t="shared" si="13"/>
        <v>4.6947000000000001</v>
      </c>
      <c r="AF31" s="169">
        <f t="shared" si="15"/>
        <v>0.41010839334156768</v>
      </c>
      <c r="AG31" s="169">
        <f t="shared" si="14"/>
        <v>5.6947000000000001</v>
      </c>
      <c r="AH31" s="170">
        <f t="shared" si="15"/>
        <v>0.50476947882741152</v>
      </c>
      <c r="AI31" s="417"/>
      <c r="AJ31" s="417"/>
      <c r="AK31" s="422"/>
      <c r="AN31" s="665"/>
      <c r="AO31" s="1"/>
      <c r="AP31" s="1"/>
    </row>
    <row r="32" spans="1:42">
      <c r="B32" s="884"/>
      <c r="C32" s="155" t="str">
        <f>Calculations_1!BH57</f>
        <v>GFP 24h</v>
      </c>
      <c r="D32" s="157">
        <f>Calculations_1!BN57</f>
        <v>0.71031173355441313</v>
      </c>
      <c r="E32" s="886"/>
      <c r="F32" s="888"/>
      <c r="G32" s="187"/>
      <c r="H32" s="187"/>
      <c r="I32" s="187"/>
      <c r="J32" s="187"/>
      <c r="K32" s="187"/>
      <c r="L32" s="187"/>
      <c r="M32" s="187"/>
      <c r="N32" s="187"/>
      <c r="O32" s="187"/>
      <c r="P32" s="187"/>
      <c r="Q32" s="187"/>
      <c r="R32" s="187"/>
      <c r="S32" s="193"/>
      <c r="U32" s="971" t="s">
        <v>11</v>
      </c>
      <c r="V32" s="974" t="str">
        <f>C54</f>
        <v>GFP</v>
      </c>
      <c r="W32" s="223">
        <v>0.84789999999999999</v>
      </c>
      <c r="X32" s="224">
        <f>I56</f>
        <v>1.0567590296487801</v>
      </c>
      <c r="Y32" s="224">
        <f t="shared" si="10"/>
        <v>1.8479000000000001</v>
      </c>
      <c r="Z32" s="224">
        <f t="shared" ref="Z32:AH32" si="17">K56</f>
        <v>0.6936765560603535</v>
      </c>
      <c r="AA32" s="224">
        <f>W32+2</f>
        <v>2.8479000000000001</v>
      </c>
      <c r="AB32" s="224">
        <f t="shared" si="17"/>
        <v>0.30950712517343493</v>
      </c>
      <c r="AC32" s="224">
        <f t="shared" si="12"/>
        <v>3.8479000000000001</v>
      </c>
      <c r="AD32" s="224">
        <f t="shared" si="17"/>
        <v>0.83292122784334754</v>
      </c>
      <c r="AE32" s="224">
        <f t="shared" si="13"/>
        <v>4.8479000000000001</v>
      </c>
      <c r="AF32" s="224">
        <f t="shared" si="17"/>
        <v>1.8018019406838788</v>
      </c>
      <c r="AG32" s="224">
        <f t="shared" si="14"/>
        <v>5.8479000000000001</v>
      </c>
      <c r="AH32" s="225">
        <f t="shared" si="17"/>
        <v>0.10088556770406254</v>
      </c>
      <c r="AI32" s="417"/>
      <c r="AJ32" s="417"/>
      <c r="AK32" s="422"/>
      <c r="AN32" s="665"/>
      <c r="AO32" s="1"/>
      <c r="AP32" s="1"/>
    </row>
    <row r="33" spans="1:42" ht="16.2" thickBot="1">
      <c r="B33" s="885"/>
      <c r="C33" s="62" t="str">
        <f>Calculations_1!BH60</f>
        <v>GFP 24h</v>
      </c>
      <c r="D33" s="158">
        <f>Calculations_1!BN60</f>
        <v>0.50476947882741152</v>
      </c>
      <c r="E33" s="887"/>
      <c r="F33" s="889"/>
      <c r="G33" s="187"/>
      <c r="H33" s="187"/>
      <c r="I33" s="187"/>
      <c r="J33" s="187"/>
      <c r="K33" s="187"/>
      <c r="L33" s="187"/>
      <c r="M33" s="187"/>
      <c r="N33" s="187"/>
      <c r="O33" s="187"/>
      <c r="P33" s="187"/>
      <c r="Q33" s="187"/>
      <c r="R33" s="187"/>
      <c r="S33" s="193"/>
      <c r="U33" s="972"/>
      <c r="V33" s="975"/>
      <c r="W33" s="411">
        <f>W32</f>
        <v>0.84789999999999999</v>
      </c>
      <c r="X33" s="409">
        <f>I57</f>
        <v>1.0701736912628501</v>
      </c>
      <c r="Y33" s="409">
        <f t="shared" si="10"/>
        <v>1.8479000000000001</v>
      </c>
      <c r="Z33" s="409">
        <f t="shared" ref="Z33:AH33" si="18">K57</f>
        <v>0.27279708023362575</v>
      </c>
      <c r="AA33" s="409">
        <f>W33+2</f>
        <v>2.8479000000000001</v>
      </c>
      <c r="AB33" s="409">
        <f t="shared" si="18"/>
        <v>0.32293026453366291</v>
      </c>
      <c r="AC33" s="409">
        <f t="shared" si="12"/>
        <v>3.8479000000000001</v>
      </c>
      <c r="AD33" s="409">
        <f t="shared" si="18"/>
        <v>0.86582335138058319</v>
      </c>
      <c r="AE33" s="409">
        <f t="shared" si="13"/>
        <v>4.8479000000000001</v>
      </c>
      <c r="AF33" s="409">
        <f t="shared" si="18"/>
        <v>0.71645040408527227</v>
      </c>
      <c r="AG33" s="409">
        <f t="shared" si="14"/>
        <v>5.8479000000000001</v>
      </c>
      <c r="AH33" s="412">
        <f t="shared" si="18"/>
        <v>0.22660639132566865</v>
      </c>
      <c r="AI33" s="417"/>
      <c r="AJ33" s="417"/>
      <c r="AK33" s="422"/>
      <c r="AN33" s="665"/>
      <c r="AO33" s="1"/>
      <c r="AP33" s="1"/>
    </row>
    <row r="34" spans="1:42" ht="16.2" thickBot="1">
      <c r="A34" s="191"/>
      <c r="B34" s="187"/>
      <c r="C34" s="187"/>
      <c r="D34" s="187"/>
      <c r="E34" s="187"/>
      <c r="F34" s="187"/>
      <c r="G34" s="187"/>
      <c r="H34" s="187"/>
      <c r="I34" s="187"/>
      <c r="J34" s="187"/>
      <c r="K34" s="187"/>
      <c r="L34" s="187"/>
      <c r="M34" s="187"/>
      <c r="N34" s="187"/>
      <c r="O34" s="187"/>
      <c r="P34" s="187"/>
      <c r="Q34" s="187"/>
      <c r="R34" s="187"/>
      <c r="S34" s="193"/>
      <c r="U34" s="973"/>
      <c r="V34" s="976"/>
      <c r="W34" s="223">
        <f>W32</f>
        <v>0.84789999999999999</v>
      </c>
      <c r="X34" s="224">
        <f t="shared" ref="X34:AH34" si="19">I58</f>
        <v>0.88423919643229809</v>
      </c>
      <c r="Y34" s="224">
        <f t="shared" si="10"/>
        <v>1.8479000000000001</v>
      </c>
      <c r="Z34" s="224">
        <f t="shared" si="19"/>
        <v>0.39217030902202554</v>
      </c>
      <c r="AA34" s="224">
        <f t="shared" ref="AA34:AA43" si="20">2+W34</f>
        <v>2.8479000000000001</v>
      </c>
      <c r="AB34" s="224">
        <f t="shared" si="19"/>
        <v>0.30863041140502617</v>
      </c>
      <c r="AC34" s="224">
        <f t="shared" si="12"/>
        <v>3.8479000000000001</v>
      </c>
      <c r="AD34" s="224">
        <f t="shared" si="19"/>
        <v>0.76086562937329794</v>
      </c>
      <c r="AE34" s="224">
        <f t="shared" si="13"/>
        <v>4.8479000000000001</v>
      </c>
      <c r="AF34" s="224">
        <f t="shared" si="19"/>
        <v>0.57161200408115909</v>
      </c>
      <c r="AG34" s="224">
        <f t="shared" si="14"/>
        <v>5.8479000000000001</v>
      </c>
      <c r="AH34" s="225">
        <f t="shared" si="19"/>
        <v>0.17303246880483028</v>
      </c>
      <c r="AI34" s="417"/>
      <c r="AJ34" s="417"/>
      <c r="AK34" s="422"/>
      <c r="AN34" s="665"/>
      <c r="AO34" s="1"/>
      <c r="AP34" s="1"/>
    </row>
    <row r="35" spans="1:42">
      <c r="A35" s="191"/>
      <c r="B35" s="187"/>
      <c r="C35" s="187"/>
      <c r="D35" s="187"/>
      <c r="E35" s="187"/>
      <c r="F35" s="187"/>
      <c r="G35" s="187"/>
      <c r="H35" s="187"/>
      <c r="I35" s="187"/>
      <c r="J35" s="187"/>
      <c r="K35" s="187"/>
      <c r="L35" s="187"/>
      <c r="M35" s="187"/>
      <c r="N35" s="187"/>
      <c r="O35" s="187"/>
      <c r="P35" s="187"/>
      <c r="Q35" s="187"/>
      <c r="R35" s="187"/>
      <c r="S35" s="193"/>
      <c r="U35" s="977" t="s">
        <v>12</v>
      </c>
      <c r="V35" s="980" t="str">
        <f>C94</f>
        <v>RIG1</v>
      </c>
      <c r="W35" s="317">
        <v>1</v>
      </c>
      <c r="X35" s="318">
        <f t="shared" ref="X35:AH35" si="21">I96</f>
        <v>0.95915336143878294</v>
      </c>
      <c r="Y35" s="318">
        <f t="shared" si="10"/>
        <v>2</v>
      </c>
      <c r="Z35" s="318">
        <f t="shared" si="21"/>
        <v>0.17263368756432385</v>
      </c>
      <c r="AA35" s="318">
        <f t="shared" si="20"/>
        <v>3</v>
      </c>
      <c r="AB35" s="318">
        <f t="shared" si="21"/>
        <v>0.203634806630802</v>
      </c>
      <c r="AC35" s="318">
        <f t="shared" si="12"/>
        <v>4</v>
      </c>
      <c r="AD35" s="318">
        <f t="shared" si="21"/>
        <v>0.15618700662081381</v>
      </c>
      <c r="AE35" s="318">
        <f t="shared" si="13"/>
        <v>5</v>
      </c>
      <c r="AF35" s="318">
        <f t="shared" si="21"/>
        <v>0.54603343857545172</v>
      </c>
      <c r="AG35" s="318">
        <f t="shared" si="14"/>
        <v>6</v>
      </c>
      <c r="AH35" s="319">
        <f t="shared" si="21"/>
        <v>1.1544473806070179</v>
      </c>
      <c r="AI35" s="417"/>
      <c r="AJ35" s="417"/>
      <c r="AK35" s="422"/>
      <c r="AN35" s="667"/>
      <c r="AO35" s="1"/>
      <c r="AP35" s="1"/>
    </row>
    <row r="36" spans="1:42">
      <c r="A36" s="191"/>
      <c r="B36" s="187"/>
      <c r="C36" s="187"/>
      <c r="D36" s="187"/>
      <c r="E36" s="187"/>
      <c r="F36" s="187"/>
      <c r="G36" s="187"/>
      <c r="H36" s="187"/>
      <c r="I36" s="187"/>
      <c r="J36" s="187"/>
      <c r="K36" s="187"/>
      <c r="L36" s="187"/>
      <c r="M36" s="187"/>
      <c r="N36" s="187"/>
      <c r="O36" s="187"/>
      <c r="P36" s="187"/>
      <c r="Q36" s="187"/>
      <c r="R36" s="187"/>
      <c r="S36" s="193"/>
      <c r="U36" s="978"/>
      <c r="V36" s="981"/>
      <c r="W36" s="321">
        <f>W35</f>
        <v>1</v>
      </c>
      <c r="X36" s="322">
        <f t="shared" ref="X36:AH36" si="22">I97</f>
        <v>1.097868766595461</v>
      </c>
      <c r="Y36" s="322">
        <f t="shared" si="10"/>
        <v>2</v>
      </c>
      <c r="Z36" s="322">
        <f t="shared" si="22"/>
        <v>0.14579369221131175</v>
      </c>
      <c r="AA36" s="322">
        <f t="shared" si="20"/>
        <v>3</v>
      </c>
      <c r="AB36" s="322">
        <f t="shared" si="22"/>
        <v>0.19652302631767085</v>
      </c>
      <c r="AC36" s="322">
        <f t="shared" si="12"/>
        <v>4</v>
      </c>
      <c r="AD36" s="322">
        <f t="shared" si="22"/>
        <v>0.22540249484585298</v>
      </c>
      <c r="AE36" s="322">
        <f t="shared" si="13"/>
        <v>5</v>
      </c>
      <c r="AF36" s="322">
        <f t="shared" si="22"/>
        <v>0.21574294462620933</v>
      </c>
      <c r="AG36" s="322">
        <f t="shared" si="14"/>
        <v>6</v>
      </c>
      <c r="AH36" s="323">
        <f t="shared" si="22"/>
        <v>1.1888812952940768</v>
      </c>
      <c r="AI36" s="417"/>
      <c r="AJ36" s="417"/>
      <c r="AK36" s="422"/>
      <c r="AN36" s="667"/>
      <c r="AO36" s="1"/>
      <c r="AP36" s="1"/>
    </row>
    <row r="37" spans="1:42" ht="16.2" thickBot="1">
      <c r="A37" s="191"/>
      <c r="B37" s="187"/>
      <c r="C37" s="187"/>
      <c r="D37" s="187"/>
      <c r="E37" s="187"/>
      <c r="F37" s="187"/>
      <c r="G37" s="187"/>
      <c r="H37" s="187"/>
      <c r="I37" s="187"/>
      <c r="J37" s="187"/>
      <c r="K37" s="187"/>
      <c r="L37" s="187"/>
      <c r="M37" s="187"/>
      <c r="N37" s="187"/>
      <c r="O37" s="187"/>
      <c r="P37" s="187"/>
      <c r="Q37" s="187"/>
      <c r="R37" s="187"/>
      <c r="S37" s="193"/>
      <c r="U37" s="979"/>
      <c r="V37" s="982"/>
      <c r="W37" s="317">
        <f>W36</f>
        <v>1</v>
      </c>
      <c r="X37" s="318">
        <f t="shared" ref="X37:AH37" si="23">I98</f>
        <v>0.94964550492661126</v>
      </c>
      <c r="Y37" s="318">
        <f t="shared" si="10"/>
        <v>2</v>
      </c>
      <c r="Z37" s="318">
        <f t="shared" si="23"/>
        <v>0.18241802336506574</v>
      </c>
      <c r="AA37" s="318">
        <f t="shared" si="20"/>
        <v>3</v>
      </c>
      <c r="AB37" s="318">
        <f t="shared" si="23"/>
        <v>0.22371692963999809</v>
      </c>
      <c r="AC37" s="318">
        <f t="shared" si="12"/>
        <v>4</v>
      </c>
      <c r="AD37" s="318">
        <f t="shared" si="23"/>
        <v>0.15771600324890289</v>
      </c>
      <c r="AE37" s="318">
        <f t="shared" si="13"/>
        <v>5</v>
      </c>
      <c r="AF37" s="318">
        <f t="shared" si="23"/>
        <v>0.24454710379394859</v>
      </c>
      <c r="AG37" s="318">
        <f t="shared" si="14"/>
        <v>6</v>
      </c>
      <c r="AH37" s="319">
        <f t="shared" si="23"/>
        <v>1.1379667691170592</v>
      </c>
      <c r="AI37" s="417"/>
      <c r="AJ37" s="417"/>
      <c r="AK37" s="422"/>
    </row>
    <row r="38" spans="1:42">
      <c r="A38" s="191"/>
      <c r="B38" s="187"/>
      <c r="C38" s="187"/>
      <c r="D38" s="187"/>
      <c r="E38" s="187"/>
      <c r="F38" s="187"/>
      <c r="G38" s="187"/>
      <c r="H38" s="187"/>
      <c r="I38" s="187"/>
      <c r="J38" s="187"/>
      <c r="K38" s="187"/>
      <c r="L38" s="187"/>
      <c r="M38" s="187"/>
      <c r="N38" s="187"/>
      <c r="O38" s="187"/>
      <c r="P38" s="187"/>
      <c r="Q38" s="187"/>
      <c r="R38" s="187"/>
      <c r="S38" s="193"/>
      <c r="U38" s="983" t="s">
        <v>14</v>
      </c>
      <c r="V38" s="986" t="str">
        <f>C134</f>
        <v>MDA5</v>
      </c>
      <c r="W38" s="346">
        <v>1.157</v>
      </c>
      <c r="X38" s="347">
        <f>I136</f>
        <v>0.95731126495480512</v>
      </c>
      <c r="Y38" s="347">
        <f t="shared" si="10"/>
        <v>2.157</v>
      </c>
      <c r="Z38" s="347">
        <f t="shared" ref="Z38:AH38" si="24">K136</f>
        <v>0.13073718193499692</v>
      </c>
      <c r="AA38" s="347">
        <f t="shared" si="20"/>
        <v>3.157</v>
      </c>
      <c r="AB38" s="347">
        <f t="shared" si="24"/>
        <v>0.27739609685027516</v>
      </c>
      <c r="AC38" s="347">
        <f t="shared" si="12"/>
        <v>4.157</v>
      </c>
      <c r="AD38" s="347">
        <f t="shared" si="24"/>
        <v>5.0831043712823501E-2</v>
      </c>
      <c r="AE38" s="347">
        <f t="shared" si="13"/>
        <v>5.157</v>
      </c>
      <c r="AF38" s="347">
        <f t="shared" si="24"/>
        <v>0.10646655967893662</v>
      </c>
      <c r="AG38" s="347">
        <f t="shared" si="14"/>
        <v>6.157</v>
      </c>
      <c r="AH38" s="348">
        <f t="shared" si="24"/>
        <v>2.0542703207127788</v>
      </c>
      <c r="AI38" s="417"/>
      <c r="AJ38" s="417"/>
      <c r="AK38" s="422"/>
    </row>
    <row r="39" spans="1:42">
      <c r="A39" s="191"/>
      <c r="B39" s="187"/>
      <c r="C39" s="187"/>
      <c r="D39" s="187"/>
      <c r="E39" s="187"/>
      <c r="F39" s="187"/>
      <c r="G39" s="187"/>
      <c r="H39" s="187"/>
      <c r="I39" s="187"/>
      <c r="J39" s="187"/>
      <c r="K39" s="187"/>
      <c r="L39" s="187"/>
      <c r="M39" s="187"/>
      <c r="N39" s="187"/>
      <c r="O39" s="187"/>
      <c r="P39" s="187"/>
      <c r="Q39" s="187"/>
      <c r="R39" s="187"/>
      <c r="S39" s="193"/>
      <c r="U39" s="984"/>
      <c r="V39" s="987"/>
      <c r="W39" s="349">
        <f>W38</f>
        <v>1.157</v>
      </c>
      <c r="X39" s="350">
        <f>I137</f>
        <v>1.2481682015320135</v>
      </c>
      <c r="Y39" s="350">
        <f t="shared" si="10"/>
        <v>2.157</v>
      </c>
      <c r="Z39" s="350">
        <f t="shared" ref="Z39:AH39" si="25">K137</f>
        <v>0.12537895240865263</v>
      </c>
      <c r="AA39" s="350">
        <f t="shared" si="20"/>
        <v>3.157</v>
      </c>
      <c r="AB39" s="350">
        <f t="shared" si="25"/>
        <v>0.33283428878825</v>
      </c>
      <c r="AC39" s="350">
        <f t="shared" si="12"/>
        <v>4.157</v>
      </c>
      <c r="AD39" s="350">
        <f t="shared" si="25"/>
        <v>2.7780139338319788E-2</v>
      </c>
      <c r="AE39" s="350">
        <f t="shared" si="13"/>
        <v>5.157</v>
      </c>
      <c r="AF39" s="350">
        <f t="shared" si="25"/>
        <v>2.6901889522691499E-2</v>
      </c>
      <c r="AG39" s="350">
        <f t="shared" si="14"/>
        <v>6.157</v>
      </c>
      <c r="AH39" s="351">
        <f t="shared" si="25"/>
        <v>2.0530443855219693</v>
      </c>
      <c r="AI39" s="417"/>
      <c r="AJ39" s="417"/>
      <c r="AK39" s="422"/>
    </row>
    <row r="40" spans="1:42" ht="16.2" thickBot="1">
      <c r="A40" s="191"/>
      <c r="B40" s="187"/>
      <c r="C40" s="187"/>
      <c r="D40" s="187"/>
      <c r="E40" s="187"/>
      <c r="F40" s="187"/>
      <c r="G40" s="187"/>
      <c r="H40" s="187"/>
      <c r="I40" s="187"/>
      <c r="J40" s="187"/>
      <c r="K40" s="187"/>
      <c r="L40" s="187"/>
      <c r="M40" s="187"/>
      <c r="N40" s="187"/>
      <c r="O40" s="187"/>
      <c r="P40" s="187"/>
      <c r="Q40" s="187"/>
      <c r="R40" s="187"/>
      <c r="S40" s="193"/>
      <c r="U40" s="985"/>
      <c r="V40" s="988"/>
      <c r="W40" s="346">
        <f>W38</f>
        <v>1.157</v>
      </c>
      <c r="X40" s="347">
        <f>I138</f>
        <v>0.83690028612303802</v>
      </c>
      <c r="Y40" s="347">
        <f t="shared" si="10"/>
        <v>2.157</v>
      </c>
      <c r="Z40" s="347">
        <f t="shared" ref="Z40:AH40" si="26">K138</f>
        <v>5.9698232560464519E-2</v>
      </c>
      <c r="AA40" s="347">
        <f t="shared" si="20"/>
        <v>3.157</v>
      </c>
      <c r="AB40" s="347">
        <f t="shared" si="26"/>
        <v>0.25252212251741291</v>
      </c>
      <c r="AC40" s="347">
        <f t="shared" si="12"/>
        <v>4.157</v>
      </c>
      <c r="AD40" s="347">
        <f t="shared" si="26"/>
        <v>3.2949011439087919E-2</v>
      </c>
      <c r="AE40" s="347">
        <f t="shared" si="13"/>
        <v>5.157</v>
      </c>
      <c r="AF40" s="347">
        <f t="shared" si="26"/>
        <v>2.6780611311067268E-2</v>
      </c>
      <c r="AG40" s="347">
        <f t="shared" si="14"/>
        <v>6.157</v>
      </c>
      <c r="AH40" s="348">
        <f t="shared" si="26"/>
        <v>2.1999258501230425</v>
      </c>
      <c r="AI40" s="417"/>
      <c r="AJ40" s="417"/>
      <c r="AK40" s="422"/>
    </row>
    <row r="41" spans="1:42">
      <c r="A41" s="191"/>
      <c r="B41" s="187"/>
      <c r="C41" s="187"/>
      <c r="D41" s="187"/>
      <c r="E41" s="187"/>
      <c r="F41" s="187"/>
      <c r="G41" s="187"/>
      <c r="H41" s="187"/>
      <c r="I41" s="187"/>
      <c r="J41" s="187"/>
      <c r="K41" s="187"/>
      <c r="L41" s="187"/>
      <c r="M41" s="187"/>
      <c r="N41" s="187"/>
      <c r="O41" s="187"/>
      <c r="P41" s="187"/>
      <c r="Q41" s="187"/>
      <c r="R41" s="187"/>
      <c r="S41" s="193"/>
      <c r="U41" s="950" t="s">
        <v>15</v>
      </c>
      <c r="V41" s="953" t="str">
        <f>C174</f>
        <v>IFIT</v>
      </c>
      <c r="W41" s="290">
        <v>1.3049999999999999</v>
      </c>
      <c r="X41" s="291">
        <f t="shared" ref="X41:AH41" si="27">I176</f>
        <v>0.87671095373194685</v>
      </c>
      <c r="Y41" s="291">
        <f t="shared" si="10"/>
        <v>2.3049999999999997</v>
      </c>
      <c r="Z41" s="291">
        <f t="shared" si="27"/>
        <v>0.22329540952965868</v>
      </c>
      <c r="AA41" s="291">
        <f t="shared" si="20"/>
        <v>3.3049999999999997</v>
      </c>
      <c r="AB41" s="291">
        <f t="shared" si="27"/>
        <v>0.50860096620486972</v>
      </c>
      <c r="AC41" s="291">
        <f t="shared" si="12"/>
        <v>4.3049999999999997</v>
      </c>
      <c r="AD41" s="291">
        <f t="shared" si="27"/>
        <v>0.43754655190818187</v>
      </c>
      <c r="AE41" s="291">
        <f t="shared" si="13"/>
        <v>5.3049999999999997</v>
      </c>
      <c r="AF41" s="291">
        <f t="shared" si="27"/>
        <v>0.4345871292635648</v>
      </c>
      <c r="AG41" s="291">
        <f t="shared" si="14"/>
        <v>6.3049999999999997</v>
      </c>
      <c r="AH41" s="292">
        <f t="shared" si="27"/>
        <v>2.0745043761510771</v>
      </c>
      <c r="AI41" s="417"/>
      <c r="AJ41" s="417"/>
      <c r="AK41" s="422"/>
    </row>
    <row r="42" spans="1:42">
      <c r="A42" s="191"/>
      <c r="B42" s="187"/>
      <c r="C42" s="187"/>
      <c r="D42" s="187"/>
      <c r="E42" s="187"/>
      <c r="F42" s="187"/>
      <c r="G42" s="187"/>
      <c r="H42" s="187"/>
      <c r="I42" s="187"/>
      <c r="J42" s="187"/>
      <c r="K42" s="187"/>
      <c r="L42" s="187"/>
      <c r="M42" s="187"/>
      <c r="N42" s="187"/>
      <c r="O42" s="187"/>
      <c r="P42" s="187"/>
      <c r="Q42" s="187"/>
      <c r="R42" s="187"/>
      <c r="S42" s="193"/>
      <c r="U42" s="951"/>
      <c r="V42" s="954"/>
      <c r="W42" s="293">
        <f>W41</f>
        <v>1.3049999999999999</v>
      </c>
      <c r="X42" s="294">
        <f t="shared" ref="X42:AH42" si="28">I177</f>
        <v>1.1804250910127834</v>
      </c>
      <c r="Y42" s="294">
        <f t="shared" si="10"/>
        <v>2.3049999999999997</v>
      </c>
      <c r="Z42" s="294">
        <f t="shared" si="28"/>
        <v>0.33749798804287862</v>
      </c>
      <c r="AA42" s="294">
        <f t="shared" si="20"/>
        <v>3.3049999999999997</v>
      </c>
      <c r="AB42" s="294">
        <f t="shared" si="28"/>
        <v>0.74603541470613477</v>
      </c>
      <c r="AC42" s="294">
        <f t="shared" si="12"/>
        <v>4.3049999999999997</v>
      </c>
      <c r="AD42" s="294">
        <f t="shared" si="28"/>
        <v>0.27684799082223627</v>
      </c>
      <c r="AE42" s="294">
        <f t="shared" si="13"/>
        <v>5.3049999999999997</v>
      </c>
      <c r="AF42" s="294">
        <f t="shared" si="28"/>
        <v>0.20092930208914486</v>
      </c>
      <c r="AG42" s="294">
        <f t="shared" si="14"/>
        <v>6.3049999999999997</v>
      </c>
      <c r="AH42" s="295">
        <f t="shared" si="28"/>
        <v>2.1159020414820411</v>
      </c>
      <c r="AI42" s="417"/>
      <c r="AJ42" s="417"/>
      <c r="AK42" s="422"/>
    </row>
    <row r="43" spans="1:42" ht="16.2" thickBot="1">
      <c r="A43" s="191"/>
      <c r="B43" s="187"/>
      <c r="C43" s="187"/>
      <c r="D43" s="187"/>
      <c r="E43" s="187"/>
      <c r="F43" s="187"/>
      <c r="G43" s="187"/>
      <c r="H43" s="187"/>
      <c r="I43" s="187"/>
      <c r="J43" s="187"/>
      <c r="K43" s="187"/>
      <c r="L43" s="187"/>
      <c r="M43" s="187"/>
      <c r="N43" s="187"/>
      <c r="O43" s="187"/>
      <c r="P43" s="187"/>
      <c r="Q43" s="187"/>
      <c r="R43" s="187"/>
      <c r="S43" s="193"/>
      <c r="U43" s="952"/>
      <c r="V43" s="955"/>
      <c r="W43" s="413">
        <f>W42</f>
        <v>1.3049999999999999</v>
      </c>
      <c r="X43" s="296">
        <f t="shared" ref="X43:AH43" si="29">I178</f>
        <v>0.96628477117497291</v>
      </c>
      <c r="Y43" s="296">
        <f t="shared" si="10"/>
        <v>2.3049999999999997</v>
      </c>
      <c r="Z43" s="296">
        <f t="shared" si="29"/>
        <v>0.17976462382717531</v>
      </c>
      <c r="AA43" s="296">
        <f t="shared" si="20"/>
        <v>3.3049999999999997</v>
      </c>
      <c r="AB43" s="296">
        <f t="shared" si="29"/>
        <v>0.56076160680058895</v>
      </c>
      <c r="AC43" s="296">
        <f t="shared" si="12"/>
        <v>4.3049999999999997</v>
      </c>
      <c r="AD43" s="296">
        <f t="shared" si="29"/>
        <v>0.2168423256826503</v>
      </c>
      <c r="AE43" s="296">
        <f t="shared" si="13"/>
        <v>5.3049999999999997</v>
      </c>
      <c r="AF43" s="296">
        <f t="shared" si="29"/>
        <v>0.26763346916825126</v>
      </c>
      <c r="AG43" s="296">
        <f t="shared" si="14"/>
        <v>6.3049999999999997</v>
      </c>
      <c r="AH43" s="297">
        <f t="shared" si="29"/>
        <v>1.8726527946682321</v>
      </c>
      <c r="AI43" s="417"/>
      <c r="AJ43" s="417"/>
      <c r="AK43" s="422"/>
    </row>
    <row r="44" spans="1:42">
      <c r="A44" s="191"/>
      <c r="B44" s="187"/>
      <c r="C44" s="187"/>
      <c r="D44" s="187"/>
      <c r="E44" s="187"/>
      <c r="F44" s="187"/>
      <c r="G44" s="187"/>
      <c r="H44" s="187"/>
      <c r="I44" s="187"/>
      <c r="J44" s="187"/>
      <c r="K44" s="187"/>
      <c r="L44" s="187"/>
      <c r="M44" s="187"/>
      <c r="N44" s="187"/>
      <c r="O44" s="187"/>
      <c r="P44" s="187"/>
      <c r="Q44" s="187"/>
      <c r="R44" s="187"/>
      <c r="S44" s="193"/>
      <c r="U44" s="418"/>
      <c r="V44" s="417"/>
      <c r="W44" s="417"/>
      <c r="X44" s="417"/>
      <c r="Y44" s="417"/>
      <c r="Z44" s="417"/>
      <c r="AA44" s="417"/>
      <c r="AB44" s="417"/>
      <c r="AC44" s="417"/>
      <c r="AD44" s="417"/>
      <c r="AE44" s="417"/>
      <c r="AF44" s="417"/>
      <c r="AG44" s="417"/>
      <c r="AH44" s="417"/>
      <c r="AI44" s="417"/>
      <c r="AJ44" s="417"/>
      <c r="AK44" s="422"/>
    </row>
    <row r="45" spans="1:42">
      <c r="A45" s="191"/>
      <c r="B45" s="187"/>
      <c r="C45" s="187"/>
      <c r="D45" s="187"/>
      <c r="E45" s="187"/>
      <c r="F45" s="187"/>
      <c r="G45" s="187"/>
      <c r="H45" s="187"/>
      <c r="I45" s="187"/>
      <c r="J45" s="187"/>
      <c r="K45" s="187"/>
      <c r="L45" s="187"/>
      <c r="M45" s="187"/>
      <c r="N45" s="187"/>
      <c r="O45" s="187"/>
      <c r="P45" s="187"/>
      <c r="Q45" s="187"/>
      <c r="R45" s="187"/>
      <c r="S45" s="193"/>
      <c r="U45" s="419"/>
      <c r="V45" s="417"/>
      <c r="W45" s="417"/>
      <c r="X45" s="417"/>
      <c r="Y45" s="417"/>
      <c r="Z45" s="417"/>
      <c r="AA45" s="417"/>
      <c r="AB45" s="417"/>
      <c r="AC45" s="417"/>
      <c r="AD45" s="417"/>
      <c r="AE45" s="417"/>
      <c r="AF45" s="417"/>
      <c r="AG45" s="417"/>
      <c r="AH45" s="417"/>
      <c r="AI45" s="417"/>
      <c r="AJ45" s="417"/>
      <c r="AK45" s="422"/>
    </row>
    <row r="46" spans="1:42">
      <c r="A46" s="191"/>
      <c r="B46" s="187"/>
      <c r="C46" s="187"/>
      <c r="D46" s="187"/>
      <c r="E46" s="187"/>
      <c r="F46" s="187"/>
      <c r="G46" s="187"/>
      <c r="H46" s="187"/>
      <c r="I46" s="187"/>
      <c r="J46" s="187"/>
      <c r="K46" s="187"/>
      <c r="L46" s="187"/>
      <c r="M46" s="187"/>
      <c r="N46" s="187"/>
      <c r="O46" s="187"/>
      <c r="P46" s="187"/>
      <c r="Q46" s="187"/>
      <c r="R46" s="187"/>
      <c r="S46" s="193"/>
      <c r="U46" s="419"/>
      <c r="V46" s="417"/>
      <c r="W46" s="417"/>
      <c r="X46" s="417"/>
      <c r="Y46" s="417"/>
      <c r="Z46" s="417"/>
      <c r="AA46" s="417"/>
      <c r="AB46" s="417"/>
      <c r="AC46" s="417"/>
      <c r="AD46" s="417"/>
      <c r="AE46" s="417"/>
      <c r="AF46" s="417"/>
      <c r="AG46" s="417"/>
      <c r="AH46" s="417"/>
      <c r="AI46" s="417"/>
      <c r="AJ46" s="417"/>
      <c r="AK46" s="422"/>
    </row>
    <row r="47" spans="1:42">
      <c r="A47" s="191"/>
      <c r="B47" s="187"/>
      <c r="C47" s="187"/>
      <c r="D47" s="187"/>
      <c r="E47" s="187"/>
      <c r="F47" s="187"/>
      <c r="G47" s="187"/>
      <c r="H47" s="187"/>
      <c r="I47" s="187"/>
      <c r="J47" s="187"/>
      <c r="K47" s="187"/>
      <c r="L47" s="187"/>
      <c r="M47" s="187"/>
      <c r="N47" s="187"/>
      <c r="O47" s="187"/>
      <c r="P47" s="187"/>
      <c r="Q47" s="187"/>
      <c r="R47" s="187"/>
      <c r="S47" s="193"/>
      <c r="U47" s="419"/>
      <c r="V47" s="417"/>
      <c r="W47" s="417"/>
      <c r="X47" s="417"/>
      <c r="Y47" s="417"/>
      <c r="Z47" s="417"/>
      <c r="AA47" s="417"/>
      <c r="AB47" s="417"/>
      <c r="AC47" s="417"/>
      <c r="AD47" s="417"/>
      <c r="AE47" s="417"/>
      <c r="AF47" s="417"/>
      <c r="AG47" s="417"/>
      <c r="AH47" s="417"/>
      <c r="AI47" s="417"/>
      <c r="AJ47" s="417"/>
      <c r="AK47" s="422"/>
    </row>
    <row r="48" spans="1:42">
      <c r="A48" s="191"/>
      <c r="B48" s="187"/>
      <c r="C48" s="187"/>
      <c r="D48" s="187"/>
      <c r="E48" s="187"/>
      <c r="F48" s="187"/>
      <c r="G48" s="187"/>
      <c r="H48" s="187"/>
      <c r="I48" s="187"/>
      <c r="J48" s="187"/>
      <c r="K48" s="187"/>
      <c r="L48" s="187"/>
      <c r="M48" s="187"/>
      <c r="N48" s="187"/>
      <c r="O48" s="187"/>
      <c r="P48" s="187"/>
      <c r="Q48" s="187"/>
      <c r="R48" s="187"/>
      <c r="S48" s="193"/>
      <c r="U48" s="419"/>
      <c r="V48" s="417"/>
      <c r="W48" s="417"/>
      <c r="X48" s="417"/>
      <c r="Y48" s="417"/>
      <c r="Z48" s="417"/>
      <c r="AA48" s="417"/>
      <c r="AB48" s="417"/>
      <c r="AC48" s="417"/>
      <c r="AD48" s="417"/>
      <c r="AE48" s="417"/>
      <c r="AF48" s="417"/>
      <c r="AG48" s="417"/>
      <c r="AH48" s="417"/>
      <c r="AI48" s="417"/>
      <c r="AJ48" s="417"/>
      <c r="AK48" s="422"/>
    </row>
    <row r="49" spans="1:43">
      <c r="A49" s="191"/>
      <c r="B49" s="187"/>
      <c r="C49" s="187"/>
      <c r="D49" s="187"/>
      <c r="E49" s="187"/>
      <c r="F49" s="187"/>
      <c r="G49" s="187"/>
      <c r="H49" s="187"/>
      <c r="I49" s="187"/>
      <c r="J49" s="187"/>
      <c r="K49" s="187"/>
      <c r="L49" s="187"/>
      <c r="M49" s="187"/>
      <c r="N49" s="187"/>
      <c r="O49" s="187"/>
      <c r="P49" s="187"/>
      <c r="Q49" s="187"/>
      <c r="R49" s="187"/>
      <c r="S49" s="193"/>
      <c r="U49" s="419"/>
      <c r="V49" s="417"/>
      <c r="W49" s="417"/>
      <c r="X49" s="417"/>
      <c r="Y49" s="417"/>
      <c r="Z49" s="417"/>
      <c r="AA49" s="417"/>
      <c r="AB49" s="417"/>
      <c r="AC49" s="417"/>
      <c r="AD49" s="417"/>
      <c r="AE49" s="417"/>
      <c r="AF49" s="417"/>
      <c r="AG49" s="417"/>
      <c r="AH49" s="417"/>
      <c r="AI49" s="417"/>
      <c r="AJ49" s="417"/>
      <c r="AK49" s="422"/>
    </row>
    <row r="50" spans="1:43">
      <c r="A50" s="191"/>
      <c r="B50" s="194"/>
      <c r="C50" s="195"/>
      <c r="D50" s="195"/>
      <c r="E50" s="195"/>
      <c r="F50" s="195"/>
      <c r="G50" s="195"/>
      <c r="H50" s="195"/>
      <c r="I50" s="195"/>
      <c r="J50" s="195"/>
      <c r="K50" s="195"/>
      <c r="L50" s="195"/>
      <c r="M50" s="195"/>
      <c r="N50" s="195"/>
      <c r="O50" s="195"/>
      <c r="P50" s="195"/>
      <c r="Q50" s="195"/>
      <c r="R50" s="195"/>
      <c r="S50" s="196"/>
      <c r="U50" s="419"/>
      <c r="V50" s="417"/>
      <c r="W50" s="417"/>
      <c r="X50" s="417"/>
      <c r="Y50" s="417"/>
      <c r="Z50" s="417"/>
      <c r="AA50" s="417"/>
      <c r="AB50" s="417"/>
      <c r="AC50" s="417"/>
      <c r="AD50" s="417"/>
      <c r="AE50" s="417"/>
      <c r="AF50" s="417"/>
      <c r="AG50" s="417"/>
      <c r="AH50" s="417"/>
      <c r="AI50" s="417"/>
      <c r="AJ50" s="417"/>
      <c r="AK50" s="422"/>
    </row>
    <row r="51" spans="1:43">
      <c r="U51" s="419"/>
      <c r="V51" s="417"/>
      <c r="W51" s="417"/>
      <c r="X51" s="417"/>
      <c r="Y51" s="417"/>
      <c r="Z51" s="417"/>
      <c r="AA51" s="417"/>
      <c r="AB51" s="417"/>
      <c r="AC51" s="417"/>
      <c r="AD51" s="417"/>
      <c r="AE51" s="417"/>
      <c r="AF51" s="417"/>
      <c r="AG51" s="417"/>
      <c r="AH51" s="417"/>
      <c r="AI51" s="417"/>
      <c r="AJ51" s="417"/>
      <c r="AK51" s="422"/>
    </row>
    <row r="52" spans="1:43" ht="16.2" thickBot="1">
      <c r="U52" s="419"/>
      <c r="V52" s="417"/>
      <c r="W52" s="417"/>
      <c r="X52" s="417"/>
      <c r="Y52" s="417"/>
      <c r="Z52" s="417"/>
      <c r="AA52" s="417"/>
      <c r="AB52" s="417"/>
      <c r="AC52" s="417"/>
      <c r="AD52" s="417"/>
      <c r="AE52" s="417"/>
      <c r="AF52" s="417"/>
      <c r="AG52" s="417"/>
      <c r="AH52" s="417"/>
      <c r="AI52" s="417"/>
      <c r="AJ52" s="417"/>
      <c r="AK52" s="422"/>
    </row>
    <row r="53" spans="1:43" ht="16.2" thickBot="1">
      <c r="B53" s="197"/>
      <c r="C53" s="900" t="s">
        <v>11</v>
      </c>
      <c r="D53" s="901"/>
      <c r="E53" s="901"/>
      <c r="F53" s="901"/>
      <c r="G53" s="901"/>
      <c r="H53" s="901"/>
      <c r="I53" s="901"/>
      <c r="J53" s="901"/>
      <c r="K53" s="901"/>
      <c r="L53" s="901"/>
      <c r="M53" s="901"/>
      <c r="N53" s="901"/>
      <c r="O53" s="901"/>
      <c r="P53" s="901"/>
      <c r="Q53" s="901"/>
      <c r="R53" s="901"/>
      <c r="S53" s="902"/>
      <c r="U53" s="419"/>
      <c r="V53" s="417"/>
      <c r="W53" s="417"/>
      <c r="X53" s="417"/>
      <c r="Y53" s="417"/>
      <c r="Z53" s="417"/>
      <c r="AA53" s="417"/>
      <c r="AB53" s="417"/>
      <c r="AC53" s="417"/>
      <c r="AD53" s="417"/>
      <c r="AE53" s="417"/>
      <c r="AF53" s="417"/>
      <c r="AG53" s="417"/>
      <c r="AH53" s="417"/>
      <c r="AI53" s="417"/>
      <c r="AJ53" s="417"/>
      <c r="AK53" s="422"/>
    </row>
    <row r="54" spans="1:43" ht="16.2" thickBot="1">
      <c r="B54" s="198"/>
      <c r="C54" s="900" t="str">
        <f>Calculations_1!B63</f>
        <v>GFP</v>
      </c>
      <c r="D54" s="901"/>
      <c r="E54" s="901"/>
      <c r="F54" s="901"/>
      <c r="G54" s="901"/>
      <c r="H54" s="901"/>
      <c r="I54" s="901"/>
      <c r="J54" s="901"/>
      <c r="K54" s="901"/>
      <c r="L54" s="901"/>
      <c r="M54" s="901"/>
      <c r="N54" s="901"/>
      <c r="O54" s="901"/>
      <c r="P54" s="901"/>
      <c r="Q54" s="901"/>
      <c r="R54" s="901"/>
      <c r="S54" s="902"/>
      <c r="U54" s="419"/>
      <c r="V54" s="417"/>
      <c r="W54" s="417"/>
      <c r="X54" s="417"/>
      <c r="Y54" s="417"/>
      <c r="Z54" s="417"/>
      <c r="AA54" s="417"/>
      <c r="AB54" s="417"/>
      <c r="AC54" s="417"/>
      <c r="AD54" s="417"/>
      <c r="AE54" s="417"/>
      <c r="AF54" s="417"/>
      <c r="AG54" s="417"/>
      <c r="AH54" s="417"/>
      <c r="AI54" s="417"/>
      <c r="AJ54" s="417"/>
      <c r="AK54" s="422"/>
    </row>
    <row r="55" spans="1:43" ht="16.8" thickBot="1">
      <c r="B55" s="199"/>
      <c r="C55" s="5" t="s">
        <v>1</v>
      </c>
      <c r="D55" s="162" t="s">
        <v>8</v>
      </c>
      <c r="E55" s="163" t="s">
        <v>20</v>
      </c>
      <c r="F55" s="164" t="s">
        <v>21</v>
      </c>
      <c r="G55" s="200"/>
      <c r="H55" s="216" t="str">
        <f>(B56) &amp; "x"</f>
        <v>WT 24hx</v>
      </c>
      <c r="I55" s="217" t="str">
        <f>B56</f>
        <v>WT 24h</v>
      </c>
      <c r="J55" s="217" t="str">
        <f>B59 &amp; "x"</f>
        <v>Set 1 24hx</v>
      </c>
      <c r="K55" s="217" t="str">
        <f>B59</f>
        <v>Set 1 24h</v>
      </c>
      <c r="L55" s="217" t="str">
        <f>B62 &amp; "x"</f>
        <v>Set 2 24hx</v>
      </c>
      <c r="M55" s="217" t="str">
        <f>B62</f>
        <v>Set 2 24h</v>
      </c>
      <c r="N55" s="217" t="str">
        <f>B65 &amp; "x"</f>
        <v>Set 4 24hx</v>
      </c>
      <c r="O55" s="217" t="str">
        <f>B65</f>
        <v>Set 4 24h</v>
      </c>
      <c r="P55" s="217" t="str">
        <f>B68 &amp; "x"</f>
        <v>Set 5 24hx</v>
      </c>
      <c r="Q55" s="217" t="str">
        <f>B68</f>
        <v>Set 5 24h</v>
      </c>
      <c r="R55" s="217" t="str">
        <f>B71 &amp; "x"</f>
        <v>GFP 24hx</v>
      </c>
      <c r="S55" s="218" t="str">
        <f>B71</f>
        <v>GFP 24h</v>
      </c>
      <c r="U55" s="419"/>
      <c r="V55" s="417"/>
      <c r="W55" s="417"/>
      <c r="X55" s="417"/>
      <c r="Y55" s="417"/>
      <c r="Z55" s="417"/>
      <c r="AA55" s="417"/>
      <c r="AB55" s="417"/>
      <c r="AC55" s="417"/>
      <c r="AD55" s="417"/>
      <c r="AE55" s="417"/>
      <c r="AF55" s="417"/>
      <c r="AG55" s="417"/>
      <c r="AH55" s="417"/>
      <c r="AI55" s="417"/>
      <c r="AJ55" s="417"/>
      <c r="AK55" s="422"/>
    </row>
    <row r="56" spans="1:43">
      <c r="B56" s="903" t="str">
        <f>Calculations_1!E3</f>
        <v>WT 24h</v>
      </c>
      <c r="C56" s="219" t="str">
        <f>Calculations_1!D63</f>
        <v>WT 24h</v>
      </c>
      <c r="D56" s="206">
        <f>Calculations_1!K63</f>
        <v>1.0567590296487801</v>
      </c>
      <c r="E56" s="890">
        <f>AVERAGE(D56:D58)</f>
        <v>1.0037239724479761</v>
      </c>
      <c r="F56" s="892">
        <f>STDEV(D56:D58)</f>
        <v>0.10369400687210692</v>
      </c>
      <c r="G56" s="200"/>
      <c r="H56" s="223">
        <v>1.002</v>
      </c>
      <c r="I56" s="224">
        <f>D56</f>
        <v>1.0567590296487801</v>
      </c>
      <c r="J56" s="224">
        <v>2.0019999999999998</v>
      </c>
      <c r="K56" s="224">
        <f>D59</f>
        <v>0.6936765560603535</v>
      </c>
      <c r="L56" s="224">
        <v>3.0019999999999998</v>
      </c>
      <c r="M56" s="224">
        <f>D62</f>
        <v>0.30950712517343493</v>
      </c>
      <c r="N56" s="224">
        <v>4.0019999999999998</v>
      </c>
      <c r="O56" s="224">
        <f>D65</f>
        <v>0.83292122784334754</v>
      </c>
      <c r="P56" s="224">
        <v>5.0019999999999998</v>
      </c>
      <c r="Q56" s="224">
        <f>D68</f>
        <v>1.8018019406838788</v>
      </c>
      <c r="R56" s="224">
        <v>6.0019999999999998</v>
      </c>
      <c r="S56" s="225">
        <f>D71</f>
        <v>0.10088556770406254</v>
      </c>
      <c r="U56" s="419"/>
      <c r="V56" s="417"/>
      <c r="W56" s="417"/>
      <c r="X56" s="417"/>
      <c r="Y56" s="417"/>
      <c r="Z56" s="417"/>
      <c r="AA56" s="417"/>
      <c r="AB56" s="417"/>
      <c r="AC56" s="417"/>
      <c r="AD56" s="417"/>
      <c r="AE56" s="417"/>
      <c r="AF56" s="417"/>
      <c r="AG56" s="417"/>
      <c r="AH56" s="417"/>
      <c r="AI56" s="417"/>
      <c r="AJ56" s="417"/>
      <c r="AK56" s="422"/>
    </row>
    <row r="57" spans="1:43">
      <c r="B57" s="904"/>
      <c r="C57" s="231" t="str">
        <f>Calculations_1!D66</f>
        <v>WT 24h</v>
      </c>
      <c r="D57" s="207">
        <f>Calculations_1!K66</f>
        <v>1.0701736912628501</v>
      </c>
      <c r="E57" s="890"/>
      <c r="F57" s="892"/>
      <c r="G57" s="200"/>
      <c r="H57" s="233">
        <v>1.002</v>
      </c>
      <c r="I57" s="234">
        <f>D57</f>
        <v>1.0701736912628501</v>
      </c>
      <c r="J57" s="234">
        <v>2.0019999999999998</v>
      </c>
      <c r="K57" s="234">
        <f>D60</f>
        <v>0.27279708023362575</v>
      </c>
      <c r="L57" s="234">
        <v>3.0019999999999998</v>
      </c>
      <c r="M57" s="234">
        <f>D63</f>
        <v>0.32293026453366291</v>
      </c>
      <c r="N57" s="234">
        <v>4.0019999999999998</v>
      </c>
      <c r="O57" s="234">
        <f>D66</f>
        <v>0.86582335138058319</v>
      </c>
      <c r="P57" s="234">
        <v>5.0019999999999998</v>
      </c>
      <c r="Q57" s="234">
        <f>D69</f>
        <v>0.71645040408527227</v>
      </c>
      <c r="R57" s="234">
        <v>6.0019999999999998</v>
      </c>
      <c r="S57" s="235">
        <f>D72</f>
        <v>0.22660639132566865</v>
      </c>
      <c r="U57" s="419"/>
      <c r="V57" s="417"/>
      <c r="W57" s="417"/>
      <c r="X57" s="417"/>
      <c r="Y57" s="417"/>
      <c r="Z57" s="417"/>
      <c r="AA57" s="417"/>
      <c r="AB57" s="417"/>
      <c r="AC57" s="417"/>
      <c r="AD57" s="417"/>
      <c r="AE57" s="417"/>
      <c r="AF57" s="417"/>
      <c r="AG57" s="417"/>
      <c r="AH57" s="417"/>
      <c r="AI57" s="417"/>
      <c r="AJ57" s="417"/>
      <c r="AK57" s="422"/>
    </row>
    <row r="58" spans="1:43" ht="16.2" thickBot="1">
      <c r="B58" s="905"/>
      <c r="C58" s="220" t="str">
        <f>Calculations_1!D69</f>
        <v>WT 24h</v>
      </c>
      <c r="D58" s="208">
        <f>Calculations_1!K69</f>
        <v>0.88423919643229809</v>
      </c>
      <c r="E58" s="891"/>
      <c r="F58" s="893"/>
      <c r="G58" s="200"/>
      <c r="H58" s="670">
        <v>1.002</v>
      </c>
      <c r="I58" s="226">
        <f>D58</f>
        <v>0.88423919643229809</v>
      </c>
      <c r="J58" s="226">
        <v>2.0019999999999998</v>
      </c>
      <c r="K58" s="226">
        <f>D61</f>
        <v>0.39217030902202554</v>
      </c>
      <c r="L58" s="226">
        <v>3.0019999999999998</v>
      </c>
      <c r="M58" s="226">
        <f>D64</f>
        <v>0.30863041140502617</v>
      </c>
      <c r="N58" s="226">
        <v>4.0019999999999998</v>
      </c>
      <c r="O58" s="226">
        <f>D67</f>
        <v>0.76086562937329794</v>
      </c>
      <c r="P58" s="226">
        <v>5.0019999999999998</v>
      </c>
      <c r="Q58" s="226">
        <f>D70</f>
        <v>0.57161200408115909</v>
      </c>
      <c r="R58" s="226">
        <v>6.0019999999999998</v>
      </c>
      <c r="S58" s="227">
        <f>D73</f>
        <v>0.17303246880483028</v>
      </c>
      <c r="U58" s="419"/>
      <c r="V58" s="417"/>
      <c r="W58" s="417"/>
      <c r="X58" s="417"/>
      <c r="Y58" s="417"/>
      <c r="Z58" s="417"/>
      <c r="AA58" s="417"/>
      <c r="AB58" s="417"/>
      <c r="AC58" s="417"/>
      <c r="AD58" s="417"/>
      <c r="AE58" s="417"/>
      <c r="AF58" s="417"/>
      <c r="AG58" s="417"/>
      <c r="AH58" s="417"/>
      <c r="AI58" s="417"/>
      <c r="AJ58" s="417"/>
      <c r="AK58" s="422"/>
    </row>
    <row r="59" spans="1:43" ht="16.2" thickBot="1">
      <c r="B59" s="883" t="str">
        <f>Calculations_1!Q3</f>
        <v>Set 1 24h</v>
      </c>
      <c r="C59" s="221" t="str">
        <f>Calculations_1!P63</f>
        <v>Set 1 24h</v>
      </c>
      <c r="D59" s="209">
        <f>Calculations_1!V63</f>
        <v>0.6936765560603535</v>
      </c>
      <c r="E59" s="890">
        <f>AVERAGE(D59:D61)</f>
        <v>0.45288131510533497</v>
      </c>
      <c r="F59" s="892">
        <f>STDEV(D59:D61)</f>
        <v>0.21690839768847345</v>
      </c>
      <c r="G59" s="201"/>
      <c r="H59" s="201"/>
      <c r="I59" s="201"/>
      <c r="J59" s="201"/>
      <c r="K59" s="201"/>
      <c r="L59" s="201"/>
      <c r="M59" s="201"/>
      <c r="N59" s="201"/>
      <c r="O59" s="201"/>
      <c r="P59" s="201"/>
      <c r="Q59" s="201"/>
      <c r="R59" s="201"/>
      <c r="S59" s="204"/>
      <c r="U59" s="419"/>
      <c r="V59" s="417"/>
      <c r="W59" s="417"/>
      <c r="X59" s="417"/>
      <c r="Y59" s="417"/>
      <c r="Z59" s="417"/>
      <c r="AA59" s="417"/>
      <c r="AB59" s="417"/>
      <c r="AC59" s="417"/>
      <c r="AD59" s="417"/>
      <c r="AE59" s="417"/>
      <c r="AF59" s="417"/>
      <c r="AG59" s="417"/>
      <c r="AH59" s="417"/>
      <c r="AI59" s="417"/>
      <c r="AJ59" s="417"/>
      <c r="AK59" s="422"/>
    </row>
    <row r="60" spans="1:43" ht="16.2" thickBot="1">
      <c r="B60" s="884"/>
      <c r="C60" s="232" t="str">
        <f>Calculations_1!P66</f>
        <v>Set 1 24h</v>
      </c>
      <c r="D60" s="207">
        <f>Calculations_1!V66</f>
        <v>0.27279708023362575</v>
      </c>
      <c r="E60" s="890"/>
      <c r="F60" s="892"/>
      <c r="G60" s="201"/>
      <c r="H60" s="175"/>
      <c r="I60" s="213" t="str">
        <f>B56</f>
        <v>WT 24h</v>
      </c>
      <c r="J60" s="214" t="str">
        <f>B59</f>
        <v>Set 1 24h</v>
      </c>
      <c r="K60" s="214" t="str">
        <f>B62</f>
        <v>Set 2 24h</v>
      </c>
      <c r="L60" s="214" t="str">
        <f>B65</f>
        <v>Set 4 24h</v>
      </c>
      <c r="M60" s="214" t="str">
        <f>B68</f>
        <v>Set 5 24h</v>
      </c>
      <c r="N60" s="215" t="str">
        <f>B71</f>
        <v>GFP 24h</v>
      </c>
      <c r="O60" s="201"/>
      <c r="P60" s="201"/>
      <c r="Q60" s="201"/>
      <c r="R60" s="201"/>
      <c r="S60" s="204"/>
      <c r="U60" s="419"/>
      <c r="V60" s="417"/>
      <c r="W60" s="417"/>
      <c r="X60" s="417"/>
      <c r="Y60" s="417"/>
      <c r="Z60" s="417"/>
      <c r="AA60" s="506"/>
      <c r="AB60" s="506"/>
      <c r="AC60" s="417"/>
      <c r="AD60" s="417"/>
      <c r="AE60" s="417"/>
      <c r="AF60" s="417"/>
      <c r="AG60" s="417"/>
      <c r="AH60" s="417"/>
      <c r="AI60" s="417"/>
      <c r="AJ60" s="417"/>
      <c r="AK60" s="422"/>
    </row>
    <row r="61" spans="1:43" ht="16.8" thickBot="1">
      <c r="B61" s="885"/>
      <c r="C61" s="85" t="str">
        <f>Calculations_1!P69</f>
        <v>Set 1 24h</v>
      </c>
      <c r="D61" s="208">
        <f>Calculations_1!V69</f>
        <v>0.39217030902202554</v>
      </c>
      <c r="E61" s="891"/>
      <c r="F61" s="893"/>
      <c r="G61" s="201"/>
      <c r="H61" s="211" t="s">
        <v>22</v>
      </c>
      <c r="I61" s="236">
        <f>E56</f>
        <v>1.0037239724479761</v>
      </c>
      <c r="J61" s="237">
        <f>E59</f>
        <v>0.45288131510533497</v>
      </c>
      <c r="K61" s="237">
        <f>E62</f>
        <v>0.31368926703737471</v>
      </c>
      <c r="L61" s="237">
        <f>E65</f>
        <v>0.81987006953240948</v>
      </c>
      <c r="M61" s="237">
        <f>E68</f>
        <v>1.0299547829501032</v>
      </c>
      <c r="N61" s="238">
        <f>E71</f>
        <v>0.1668414759448538</v>
      </c>
      <c r="O61" s="201"/>
      <c r="P61" s="201"/>
      <c r="Q61" s="201"/>
      <c r="R61" s="201"/>
      <c r="S61" s="204"/>
      <c r="U61" s="962" t="s">
        <v>24</v>
      </c>
      <c r="V61" s="963"/>
      <c r="W61" s="963"/>
      <c r="X61" s="963"/>
      <c r="Y61" s="963"/>
      <c r="Z61" s="964"/>
      <c r="AA61" s="545"/>
      <c r="AB61" s="962" t="s">
        <v>25</v>
      </c>
      <c r="AC61" s="963"/>
      <c r="AD61" s="963"/>
      <c r="AE61" s="963"/>
      <c r="AF61" s="963"/>
      <c r="AG61" s="964"/>
      <c r="AH61" s="417"/>
      <c r="AI61" s="417"/>
      <c r="AJ61" s="417"/>
      <c r="AK61" s="422"/>
    </row>
    <row r="62" spans="1:43" ht="16.8" thickBot="1">
      <c r="B62" s="883" t="str">
        <f>Calculations_1!AB3</f>
        <v>Set 2 24h</v>
      </c>
      <c r="C62" s="222" t="str">
        <f>Calculations_1!AA63</f>
        <v>Set 2 24h</v>
      </c>
      <c r="D62" s="210">
        <f>Calculations_1!AG63</f>
        <v>0.30950712517343493</v>
      </c>
      <c r="E62" s="890">
        <f>AVERAGE(D62:D64)</f>
        <v>0.31368926703737471</v>
      </c>
      <c r="F62" s="892">
        <f>STDEV(D62:D64)</f>
        <v>8.0149349843110732E-3</v>
      </c>
      <c r="G62" s="201"/>
      <c r="H62" s="212" t="s">
        <v>23</v>
      </c>
      <c r="I62" s="228">
        <f>F56</f>
        <v>0.10369400687210692</v>
      </c>
      <c r="J62" s="229">
        <f>F59</f>
        <v>0.21690839768847345</v>
      </c>
      <c r="K62" s="229">
        <f>F62</f>
        <v>8.0149349843110732E-3</v>
      </c>
      <c r="L62" s="229">
        <f>F65</f>
        <v>5.3682216815091728E-2</v>
      </c>
      <c r="M62" s="229">
        <f>F68</f>
        <v>0.67235077653351372</v>
      </c>
      <c r="N62" s="230">
        <f>F71</f>
        <v>6.3088649275982789E-2</v>
      </c>
      <c r="O62" s="201"/>
      <c r="P62" s="201"/>
      <c r="Q62" s="201"/>
      <c r="R62" s="201"/>
      <c r="S62" s="204"/>
      <c r="U62" s="546"/>
      <c r="V62" s="406" t="s">
        <v>10</v>
      </c>
      <c r="W62" s="512" t="s">
        <v>11</v>
      </c>
      <c r="X62" s="513" t="s">
        <v>12</v>
      </c>
      <c r="Y62" s="514" t="s">
        <v>14</v>
      </c>
      <c r="Z62" s="515" t="s">
        <v>15</v>
      </c>
      <c r="AA62" s="547"/>
      <c r="AB62" s="548"/>
      <c r="AC62" s="406" t="s">
        <v>10</v>
      </c>
      <c r="AD62" s="512" t="s">
        <v>11</v>
      </c>
      <c r="AE62" s="513" t="s">
        <v>12</v>
      </c>
      <c r="AF62" s="514" t="s">
        <v>14</v>
      </c>
      <c r="AG62" s="515" t="s">
        <v>15</v>
      </c>
      <c r="AH62" s="417"/>
      <c r="AI62" s="417"/>
      <c r="AJ62" s="417"/>
      <c r="AK62" s="422"/>
      <c r="AO62" s="145"/>
      <c r="AP62" s="145"/>
      <c r="AQ62" s="145"/>
    </row>
    <row r="63" spans="1:43" ht="16.2" thickBot="1">
      <c r="B63" s="884"/>
      <c r="C63" s="232" t="str">
        <f>Calculations_1!AA66</f>
        <v>Set 2 24h</v>
      </c>
      <c r="D63" s="207">
        <f>Calculations_1!AG66</f>
        <v>0.32293026453366291</v>
      </c>
      <c r="E63" s="890"/>
      <c r="F63" s="892"/>
      <c r="G63" s="201"/>
      <c r="H63" s="201"/>
      <c r="I63" s="201"/>
      <c r="J63" s="201"/>
      <c r="K63" s="201"/>
      <c r="L63" s="201"/>
      <c r="M63" s="201"/>
      <c r="N63" s="201"/>
      <c r="O63" s="201"/>
      <c r="P63" s="201"/>
      <c r="Q63" s="201"/>
      <c r="R63" s="201"/>
      <c r="S63" s="204"/>
      <c r="U63" s="549"/>
      <c r="V63" s="550" t="str">
        <f>V19</f>
        <v>nsP3</v>
      </c>
      <c r="W63" s="551" t="str">
        <f>V20</f>
        <v>GFP</v>
      </c>
      <c r="X63" s="552" t="str">
        <f>V21</f>
        <v>RIG1</v>
      </c>
      <c r="Y63" s="553" t="str">
        <f>V22</f>
        <v>MDA5</v>
      </c>
      <c r="Z63" s="554" t="str">
        <f>V23</f>
        <v>IFIT</v>
      </c>
      <c r="AA63" s="547"/>
      <c r="AB63" s="546"/>
      <c r="AC63" s="555" t="str">
        <f>AE19</f>
        <v>nsP3</v>
      </c>
      <c r="AD63" s="551" t="str">
        <f>AE20</f>
        <v>GFP</v>
      </c>
      <c r="AE63" s="552" t="str">
        <f>AE21</f>
        <v>RIG1</v>
      </c>
      <c r="AF63" s="553" t="str">
        <f>AE22</f>
        <v>MDA5</v>
      </c>
      <c r="AG63" s="554" t="str">
        <f>AE23</f>
        <v>IFIT</v>
      </c>
      <c r="AH63" s="417"/>
      <c r="AI63" s="417"/>
      <c r="AJ63" s="417"/>
      <c r="AK63" s="422"/>
      <c r="AO63" s="19"/>
      <c r="AP63" s="665"/>
      <c r="AQ63" s="147"/>
    </row>
    <row r="64" spans="1:43" ht="16.2" thickBot="1">
      <c r="B64" s="885"/>
      <c r="C64" s="219" t="str">
        <f>Calculations_1!AA69</f>
        <v>Set 2 24h</v>
      </c>
      <c r="D64" s="208">
        <f>Calculations_1!AG69</f>
        <v>0.30863041140502617</v>
      </c>
      <c r="E64" s="891"/>
      <c r="F64" s="893"/>
      <c r="G64" s="201"/>
      <c r="H64" s="201"/>
      <c r="I64" s="201"/>
      <c r="J64" s="201"/>
      <c r="K64" s="201"/>
      <c r="L64" s="201"/>
      <c r="M64" s="201"/>
      <c r="N64" s="201"/>
      <c r="O64" s="201"/>
      <c r="P64" s="201"/>
      <c r="Q64" s="201"/>
      <c r="R64" s="201"/>
      <c r="S64" s="204"/>
      <c r="U64" s="516" t="str">
        <f>Calculations_1!E3</f>
        <v>WT 24h</v>
      </c>
      <c r="V64" s="556">
        <f>W19</f>
        <v>1.0021497682695211</v>
      </c>
      <c r="W64" s="557">
        <f>W20</f>
        <v>1.0037239724479761</v>
      </c>
      <c r="X64" s="558">
        <f>W21</f>
        <v>1.0022225443202852</v>
      </c>
      <c r="Y64" s="521">
        <f>W22</f>
        <v>1.0141265842032856</v>
      </c>
      <c r="Z64" s="522">
        <f>W23</f>
        <v>1.0078069386399011</v>
      </c>
      <c r="AA64" s="559"/>
      <c r="AB64" s="516" t="str">
        <f>Calculations_1!E3</f>
        <v>WT 24h</v>
      </c>
      <c r="AC64" s="556">
        <f>AF19</f>
        <v>7.9383298111410747E-2</v>
      </c>
      <c r="AD64" s="557">
        <f>AF20</f>
        <v>0.10369400687210692</v>
      </c>
      <c r="AE64" s="558">
        <f>AF21</f>
        <v>8.2968365721510257E-2</v>
      </c>
      <c r="AF64" s="521">
        <f>AF22</f>
        <v>0.21143866708147527</v>
      </c>
      <c r="AG64" s="522">
        <f>AF23</f>
        <v>0.15605651889395658</v>
      </c>
      <c r="AH64" s="417"/>
      <c r="AI64" s="417"/>
      <c r="AJ64" s="417"/>
      <c r="AK64" s="422"/>
      <c r="AO64" s="665"/>
      <c r="AQ64" s="666"/>
    </row>
    <row r="65" spans="2:43">
      <c r="B65" s="883" t="str">
        <f>Calculations_1!AM3</f>
        <v>Set 4 24h</v>
      </c>
      <c r="C65" s="221" t="str">
        <f>Calculations_1!AL63</f>
        <v>Set 4 24h</v>
      </c>
      <c r="D65" s="210">
        <f>Calculations_1!AR63</f>
        <v>0.83292122784334754</v>
      </c>
      <c r="E65" s="890">
        <f>AVERAGE(D65:D67)</f>
        <v>0.81987006953240948</v>
      </c>
      <c r="F65" s="892">
        <f>STDEV(D65:D67)</f>
        <v>5.3682216815091728E-2</v>
      </c>
      <c r="G65" s="201"/>
      <c r="H65" s="201"/>
      <c r="I65" s="201"/>
      <c r="J65" s="201"/>
      <c r="K65" s="201"/>
      <c r="L65" s="201"/>
      <c r="M65" s="201"/>
      <c r="N65" s="201"/>
      <c r="O65" s="201"/>
      <c r="P65" s="201"/>
      <c r="Q65" s="201"/>
      <c r="R65" s="201"/>
      <c r="S65" s="204"/>
      <c r="U65" s="517" t="str">
        <f>Calculations_1!Q3</f>
        <v>Set 1 24h</v>
      </c>
      <c r="V65" s="560">
        <f>X19</f>
        <v>0.29051094043775477</v>
      </c>
      <c r="W65" s="561">
        <f>X20</f>
        <v>0.45288131510533497</v>
      </c>
      <c r="X65" s="562">
        <f>X21</f>
        <v>0.16694846771356711</v>
      </c>
      <c r="Y65" s="43">
        <f>X22</f>
        <v>0.10527145563470469</v>
      </c>
      <c r="Z65" s="37">
        <f>X23</f>
        <v>0.24685267379990419</v>
      </c>
      <c r="AA65" s="559"/>
      <c r="AB65" s="517" t="str">
        <f>Calculations_1!Q3</f>
        <v>Set 1 24h</v>
      </c>
      <c r="AC65" s="560">
        <f>AG19</f>
        <v>0.10908235537049071</v>
      </c>
      <c r="AD65" s="561">
        <f>AG20</f>
        <v>0.21690839768847345</v>
      </c>
      <c r="AE65" s="562">
        <f>AG21</f>
        <v>1.8962507789808226E-2</v>
      </c>
      <c r="AF65" s="43">
        <f>AG22</f>
        <v>3.9558395467272002E-2</v>
      </c>
      <c r="AG65" s="37">
        <f>AG23</f>
        <v>8.1462642184160522E-2</v>
      </c>
      <c r="AH65" s="417"/>
      <c r="AI65" s="417"/>
      <c r="AJ65" s="417"/>
      <c r="AK65" s="422"/>
      <c r="AO65" s="665"/>
      <c r="AQ65" s="666"/>
    </row>
    <row r="66" spans="2:43">
      <c r="B66" s="884"/>
      <c r="C66" s="232" t="str">
        <f>Calculations_1!AL66</f>
        <v>Set 4 24h</v>
      </c>
      <c r="D66" s="207">
        <f>Calculations_1!AR66</f>
        <v>0.86582335138058319</v>
      </c>
      <c r="E66" s="890"/>
      <c r="F66" s="892"/>
      <c r="G66" s="201"/>
      <c r="H66" s="201"/>
      <c r="I66" s="201"/>
      <c r="J66" s="201"/>
      <c r="K66" s="201"/>
      <c r="L66" s="201"/>
      <c r="M66" s="201"/>
      <c r="N66" s="201"/>
      <c r="O66" s="201"/>
      <c r="P66" s="201"/>
      <c r="Q66" s="201"/>
      <c r="R66" s="201"/>
      <c r="S66" s="204"/>
      <c r="U66" s="518" t="str">
        <f>Calculations_1!AB3</f>
        <v>Set 2 24h</v>
      </c>
      <c r="V66" s="563">
        <f>Y19</f>
        <v>0.21683656131545803</v>
      </c>
      <c r="W66" s="564">
        <f>Y20</f>
        <v>0.31368926703737471</v>
      </c>
      <c r="X66" s="565">
        <f>Y21</f>
        <v>0.20795825419615699</v>
      </c>
      <c r="Y66" s="44">
        <f>Y22</f>
        <v>0.28758416938531267</v>
      </c>
      <c r="Z66" s="38">
        <f>Y23</f>
        <v>0.60513266257053122</v>
      </c>
      <c r="AA66" s="559"/>
      <c r="AB66" s="518" t="str">
        <f>Calculations_1!AB3</f>
        <v>Set 2 24h</v>
      </c>
      <c r="AC66" s="563">
        <f>AH19</f>
        <v>5.9137460738786132E-2</v>
      </c>
      <c r="AD66" s="564">
        <f>AH20</f>
        <v>8.0149349843110732E-3</v>
      </c>
      <c r="AE66" s="565">
        <f>AH21</f>
        <v>1.4103057952578957E-2</v>
      </c>
      <c r="AF66" s="44">
        <f>AH22</f>
        <v>4.1113971217373708E-2</v>
      </c>
      <c r="AG66" s="38">
        <f>AH23</f>
        <v>0.12478129778287836</v>
      </c>
      <c r="AH66" s="417"/>
      <c r="AI66" s="417"/>
      <c r="AJ66" s="417"/>
      <c r="AK66" s="422"/>
      <c r="AO66" s="665"/>
      <c r="AQ66" s="666"/>
    </row>
    <row r="67" spans="2:43" ht="16.2" thickBot="1">
      <c r="B67" s="885"/>
      <c r="C67" s="219" t="str">
        <f>Calculations_1!AL69</f>
        <v>Set 4 24h</v>
      </c>
      <c r="D67" s="208">
        <f>Calculations_1!AR69</f>
        <v>0.76086562937329794</v>
      </c>
      <c r="E67" s="891"/>
      <c r="F67" s="893"/>
      <c r="G67" s="201"/>
      <c r="H67" s="201"/>
      <c r="I67" s="201"/>
      <c r="J67" s="201"/>
      <c r="K67" s="201"/>
      <c r="L67" s="201"/>
      <c r="M67" s="201"/>
      <c r="N67" s="201"/>
      <c r="O67" s="201"/>
      <c r="P67" s="201"/>
      <c r="Q67" s="201"/>
      <c r="R67" s="201"/>
      <c r="S67" s="204"/>
      <c r="U67" s="519" t="str">
        <f>Calculations_1!AM3</f>
        <v>Set 4 24h</v>
      </c>
      <c r="V67" s="566">
        <f>Z19</f>
        <v>0.21202650213859639</v>
      </c>
      <c r="W67" s="567">
        <f>Z20</f>
        <v>0.81987006953240948</v>
      </c>
      <c r="X67" s="568">
        <f>Z21</f>
        <v>0.17976850157185656</v>
      </c>
      <c r="Y67" s="45">
        <f>Z22</f>
        <v>3.7186731496743737E-2</v>
      </c>
      <c r="Z67" s="39">
        <f>Z23</f>
        <v>0.31041228947102278</v>
      </c>
      <c r="AA67" s="559"/>
      <c r="AB67" s="519" t="str">
        <f>Calculations_1!AM3</f>
        <v>Set 4 24h</v>
      </c>
      <c r="AC67" s="566">
        <f>AI19</f>
        <v>2.3665158557088593E-2</v>
      </c>
      <c r="AD67" s="567">
        <f>AI20</f>
        <v>5.3682216815091728E-2</v>
      </c>
      <c r="AE67" s="568">
        <f>AI21</f>
        <v>3.9527591177183165E-2</v>
      </c>
      <c r="AF67" s="45">
        <f>AI22</f>
        <v>1.2095650110098371E-2</v>
      </c>
      <c r="AG67" s="39">
        <f>AI23</f>
        <v>0.11411621478252502</v>
      </c>
      <c r="AH67" s="417"/>
      <c r="AI67" s="417"/>
      <c r="AJ67" s="417"/>
      <c r="AK67" s="422"/>
      <c r="AO67" s="665"/>
      <c r="AQ67" s="666"/>
    </row>
    <row r="68" spans="2:43">
      <c r="B68" s="883" t="str">
        <f>Calculations_1!AX3</f>
        <v>Set 5 24h</v>
      </c>
      <c r="C68" s="221" t="str">
        <f>Calculations_1!AW63</f>
        <v>Set 5 24h</v>
      </c>
      <c r="D68" s="210">
        <f>Calculations_1!BC63</f>
        <v>1.8018019406838788</v>
      </c>
      <c r="E68" s="890">
        <f>AVERAGE(D68:D70)</f>
        <v>1.0299547829501032</v>
      </c>
      <c r="F68" s="892">
        <f>STDEV(D68:D70)</f>
        <v>0.67235077653351372</v>
      </c>
      <c r="G68" s="201"/>
      <c r="H68" s="201"/>
      <c r="I68" s="201"/>
      <c r="J68" s="201"/>
      <c r="K68" s="201"/>
      <c r="L68" s="201"/>
      <c r="M68" s="201"/>
      <c r="N68" s="201"/>
      <c r="O68" s="201"/>
      <c r="P68" s="201"/>
      <c r="Q68" s="201"/>
      <c r="R68" s="201"/>
      <c r="S68" s="204"/>
      <c r="U68" s="520" t="str">
        <f>Calculations_1!AX3</f>
        <v>Set 5 24h</v>
      </c>
      <c r="V68" s="523">
        <f>AA19</f>
        <v>0.58245147044502021</v>
      </c>
      <c r="W68" s="30">
        <f>AA20</f>
        <v>1.0299547829501032</v>
      </c>
      <c r="X68" s="146">
        <f>AA21</f>
        <v>0.33544116233186988</v>
      </c>
      <c r="Y68" s="46">
        <f>AA22</f>
        <v>5.3383020170898458E-2</v>
      </c>
      <c r="Z68" s="40">
        <f>AA23</f>
        <v>0.30104996684032032</v>
      </c>
      <c r="AA68" s="559"/>
      <c r="AB68" s="520" t="str">
        <f>Calculations_1!AX3</f>
        <v>Set 5 24h</v>
      </c>
      <c r="AC68" s="523">
        <f>AJ19</f>
        <v>0.16437716451521414</v>
      </c>
      <c r="AD68" s="30">
        <f>AJ20</f>
        <v>0.67235077653351372</v>
      </c>
      <c r="AE68" s="146">
        <f>AJ21</f>
        <v>0.1829460303106627</v>
      </c>
      <c r="AF68" s="46">
        <f>AJ22</f>
        <v>4.5971733729839245E-2</v>
      </c>
      <c r="AG68" s="40">
        <f>AJ23</f>
        <v>0.12035984291892513</v>
      </c>
      <c r="AH68" s="417"/>
      <c r="AI68" s="417"/>
      <c r="AJ68" s="417"/>
      <c r="AK68" s="422"/>
      <c r="AO68" s="667"/>
      <c r="AQ68" s="1"/>
    </row>
    <row r="69" spans="2:43" ht="16.2" thickBot="1">
      <c r="B69" s="884"/>
      <c r="C69" s="232" t="str">
        <f>Calculations_1!AW66</f>
        <v>Set 5 24h</v>
      </c>
      <c r="D69" s="207">
        <f>Calculations_1!BC66</f>
        <v>0.71645040408527227</v>
      </c>
      <c r="E69" s="890"/>
      <c r="F69" s="892"/>
      <c r="G69" s="201"/>
      <c r="H69" s="201"/>
      <c r="I69" s="201"/>
      <c r="J69" s="201"/>
      <c r="K69" s="201"/>
      <c r="L69" s="201"/>
      <c r="M69" s="201"/>
      <c r="N69" s="201"/>
      <c r="O69" s="201"/>
      <c r="P69" s="201"/>
      <c r="Q69" s="201"/>
      <c r="R69" s="201"/>
      <c r="S69" s="204"/>
      <c r="U69" s="511" t="str">
        <f>Calculations_1!BI3</f>
        <v>GFP 24h</v>
      </c>
      <c r="V69" s="524">
        <f>AB19</f>
        <v>0.52371099169917434</v>
      </c>
      <c r="W69" s="31">
        <f>AB20</f>
        <v>0.1668414759448538</v>
      </c>
      <c r="X69" s="525">
        <f>AB21</f>
        <v>1.1604318150060513</v>
      </c>
      <c r="Y69" s="47">
        <f>AB22</f>
        <v>2.1024135187859301</v>
      </c>
      <c r="Z69" s="41">
        <f>AB23</f>
        <v>2.0210197374337837</v>
      </c>
      <c r="AA69" s="559"/>
      <c r="AB69" s="511" t="str">
        <f>Calculations_1!BI3</f>
        <v>GFP 24h</v>
      </c>
      <c r="AC69" s="524">
        <f>AK19</f>
        <v>0.17788793499578642</v>
      </c>
      <c r="AD69" s="31">
        <f>AK20</f>
        <v>6.3088649275982789E-2</v>
      </c>
      <c r="AE69" s="525">
        <f>AK21</f>
        <v>2.5979459872460864E-2</v>
      </c>
      <c r="AF69" s="47">
        <f>AK22</f>
        <v>8.4450380705903855E-2</v>
      </c>
      <c r="AG69" s="41">
        <f>AK23</f>
        <v>0.13014608696734187</v>
      </c>
      <c r="AH69" s="417"/>
      <c r="AI69" s="417"/>
      <c r="AJ69" s="417"/>
      <c r="AK69" s="422"/>
      <c r="AO69" s="667"/>
      <c r="AQ69" s="1"/>
    </row>
    <row r="70" spans="2:43" ht="16.2" thickBot="1">
      <c r="B70" s="885"/>
      <c r="C70" s="219" t="str">
        <f>Calculations_1!AW69</f>
        <v>Set 5 24h</v>
      </c>
      <c r="D70" s="208">
        <f>Calculations_1!BC69</f>
        <v>0.57161200408115909</v>
      </c>
      <c r="E70" s="891"/>
      <c r="F70" s="893"/>
      <c r="G70" s="201"/>
      <c r="H70" s="201"/>
      <c r="I70" s="201"/>
      <c r="J70" s="201"/>
      <c r="K70" s="201"/>
      <c r="L70" s="201"/>
      <c r="M70" s="201"/>
      <c r="N70" s="201"/>
      <c r="O70" s="201"/>
      <c r="P70" s="201"/>
      <c r="Q70" s="201"/>
      <c r="R70" s="201"/>
      <c r="S70" s="204"/>
      <c r="U70" s="569"/>
      <c r="V70" s="559"/>
      <c r="W70" s="559"/>
      <c r="X70" s="559"/>
      <c r="Y70" s="559"/>
      <c r="Z70" s="559"/>
      <c r="AA70" s="559"/>
      <c r="AB70" s="559"/>
      <c r="AC70" s="559"/>
      <c r="AD70" s="559"/>
      <c r="AE70" s="559"/>
      <c r="AF70" s="559"/>
      <c r="AG70" s="559"/>
      <c r="AH70" s="417"/>
      <c r="AI70" s="417"/>
      <c r="AJ70" s="417"/>
      <c r="AK70" s="422"/>
      <c r="AP70" s="147"/>
      <c r="AQ70" s="668"/>
    </row>
    <row r="71" spans="2:43">
      <c r="B71" s="883" t="str">
        <f>Calculations_1!BI3</f>
        <v>GFP 24h</v>
      </c>
      <c r="C71" s="221" t="str">
        <f>Calculations_1!BH63</f>
        <v>GFP 24h</v>
      </c>
      <c r="D71" s="210">
        <f>Calculations_1!BN63</f>
        <v>0.10088556770406254</v>
      </c>
      <c r="E71" s="890">
        <f>AVERAGE(D71:D73)</f>
        <v>0.1668414759448538</v>
      </c>
      <c r="F71" s="892">
        <f>STDEV(D71:D73)</f>
        <v>6.3088649275982789E-2</v>
      </c>
      <c r="G71" s="201"/>
      <c r="H71" s="201"/>
      <c r="I71" s="201"/>
      <c r="J71" s="201"/>
      <c r="K71" s="201"/>
      <c r="L71" s="201"/>
      <c r="M71" s="201"/>
      <c r="N71" s="201"/>
      <c r="O71" s="201"/>
      <c r="P71" s="201"/>
      <c r="Q71" s="201"/>
      <c r="R71" s="201"/>
      <c r="S71" s="204"/>
      <c r="U71" s="570"/>
      <c r="V71" s="559"/>
      <c r="W71" s="559"/>
      <c r="X71" s="559"/>
      <c r="Y71" s="559"/>
      <c r="Z71" s="559"/>
      <c r="AA71" s="559"/>
      <c r="AB71" s="559"/>
      <c r="AC71" s="559"/>
      <c r="AD71" s="559"/>
      <c r="AE71" s="559"/>
      <c r="AF71" s="559"/>
      <c r="AG71" s="559"/>
      <c r="AH71" s="417"/>
      <c r="AI71" s="417"/>
      <c r="AJ71" s="417"/>
      <c r="AK71" s="422"/>
      <c r="AO71" s="665"/>
      <c r="AP71" s="666"/>
    </row>
    <row r="72" spans="2:43">
      <c r="B72" s="884"/>
      <c r="C72" s="232" t="str">
        <f>Calculations_1!BH66</f>
        <v>GFP 24h</v>
      </c>
      <c r="D72" s="207">
        <f>Calculations_1!BN66</f>
        <v>0.22660639132566865</v>
      </c>
      <c r="E72" s="890"/>
      <c r="F72" s="892"/>
      <c r="G72" s="201"/>
      <c r="H72" s="201"/>
      <c r="I72" s="201"/>
      <c r="J72" s="201"/>
      <c r="K72" s="201"/>
      <c r="L72" s="201"/>
      <c r="M72" s="201"/>
      <c r="N72" s="201"/>
      <c r="O72" s="201"/>
      <c r="P72" s="201"/>
      <c r="Q72" s="201"/>
      <c r="R72" s="201"/>
      <c r="S72" s="204"/>
      <c r="U72" s="569"/>
      <c r="V72" s="559"/>
      <c r="W72" s="559"/>
      <c r="X72" s="559"/>
      <c r="Y72" s="559"/>
      <c r="Z72" s="559"/>
      <c r="AA72" s="559"/>
      <c r="AB72" s="559"/>
      <c r="AC72" s="559"/>
      <c r="AD72" s="559"/>
      <c r="AE72" s="559"/>
      <c r="AF72" s="559"/>
      <c r="AG72" s="559"/>
      <c r="AH72" s="417"/>
      <c r="AI72" s="417"/>
      <c r="AJ72" s="417"/>
      <c r="AK72" s="422"/>
      <c r="AO72" s="665"/>
      <c r="AP72" s="666"/>
    </row>
    <row r="73" spans="2:43" ht="16.2" thickBot="1">
      <c r="B73" s="885"/>
      <c r="C73" s="85" t="str">
        <f>Calculations_1!BH69</f>
        <v>GFP 24h</v>
      </c>
      <c r="D73" s="208">
        <f>Calculations_1!BN69</f>
        <v>0.17303246880483028</v>
      </c>
      <c r="E73" s="891"/>
      <c r="F73" s="893"/>
      <c r="G73" s="201"/>
      <c r="H73" s="201"/>
      <c r="I73" s="201"/>
      <c r="J73" s="201"/>
      <c r="K73" s="201"/>
      <c r="L73" s="201"/>
      <c r="M73" s="201"/>
      <c r="N73" s="201"/>
      <c r="O73" s="201"/>
      <c r="P73" s="201"/>
      <c r="Q73" s="201"/>
      <c r="R73" s="201"/>
      <c r="S73" s="204"/>
      <c r="U73" s="570"/>
      <c r="V73" s="547"/>
      <c r="W73" s="547"/>
      <c r="X73" s="547"/>
      <c r="Y73" s="547"/>
      <c r="Z73" s="547"/>
      <c r="AA73" s="547"/>
      <c r="AB73" s="547"/>
      <c r="AC73" s="547"/>
      <c r="AD73" s="547"/>
      <c r="AE73" s="547"/>
      <c r="AF73" s="559"/>
      <c r="AG73" s="559"/>
      <c r="AH73" s="417"/>
      <c r="AI73" s="417"/>
      <c r="AJ73" s="417"/>
      <c r="AK73" s="422"/>
      <c r="AO73" s="665"/>
      <c r="AP73" s="666"/>
    </row>
    <row r="74" spans="2:43" ht="16.2" thickBot="1">
      <c r="B74" s="201"/>
      <c r="C74" s="201"/>
      <c r="D74" s="201"/>
      <c r="E74" s="201"/>
      <c r="F74" s="201"/>
      <c r="G74" s="201"/>
      <c r="H74" s="201"/>
      <c r="I74" s="201"/>
      <c r="J74" s="201"/>
      <c r="K74" s="201"/>
      <c r="L74" s="201"/>
      <c r="M74" s="201"/>
      <c r="N74" s="201"/>
      <c r="O74" s="201"/>
      <c r="P74" s="201"/>
      <c r="Q74" s="201"/>
      <c r="R74" s="201"/>
      <c r="S74" s="204"/>
      <c r="U74" s="546"/>
      <c r="V74" s="526" t="str">
        <f>V63 &amp; "-x"</f>
        <v>nsP3-x</v>
      </c>
      <c r="W74" s="537" t="str">
        <f>V63</f>
        <v>nsP3</v>
      </c>
      <c r="X74" s="538" t="str">
        <f>W63 &amp; "-x"</f>
        <v>GFP-x</v>
      </c>
      <c r="Y74" s="539" t="str">
        <f>W63</f>
        <v>GFP</v>
      </c>
      <c r="Z74" s="540" t="str">
        <f>X63 &amp; "-x"</f>
        <v>RIG1-x</v>
      </c>
      <c r="AA74" s="541" t="str">
        <f>X63</f>
        <v>RIG1</v>
      </c>
      <c r="AB74" s="543" t="str">
        <f>Y63 &amp; "-x"</f>
        <v>MDA5-x</v>
      </c>
      <c r="AC74" s="544" t="str">
        <f>Y63</f>
        <v>MDA5</v>
      </c>
      <c r="AD74" s="542" t="str">
        <f>Z63 &amp; "-x"</f>
        <v>IFIT-x</v>
      </c>
      <c r="AE74" s="527" t="str">
        <f>Z63</f>
        <v>IFIT</v>
      </c>
      <c r="AF74" s="547"/>
      <c r="AG74" s="547"/>
      <c r="AH74" s="506"/>
      <c r="AI74" s="506"/>
      <c r="AJ74" s="506"/>
      <c r="AK74" s="509"/>
      <c r="AO74" s="665"/>
      <c r="AP74" s="666"/>
    </row>
    <row r="75" spans="2:43">
      <c r="B75" s="201"/>
      <c r="C75" s="201"/>
      <c r="D75" s="201"/>
      <c r="E75" s="201"/>
      <c r="F75" s="201"/>
      <c r="G75" s="201"/>
      <c r="H75" s="201"/>
      <c r="I75" s="201"/>
      <c r="J75" s="201"/>
      <c r="K75" s="201"/>
      <c r="L75" s="201"/>
      <c r="M75" s="201"/>
      <c r="N75" s="201"/>
      <c r="O75" s="201"/>
      <c r="P75" s="201"/>
      <c r="Q75" s="201"/>
      <c r="R75" s="201"/>
      <c r="S75" s="204"/>
      <c r="U75" s="938" t="str">
        <f>Calculations_1!E3</f>
        <v>WT 24h</v>
      </c>
      <c r="V75" s="571">
        <v>0.66600000000000004</v>
      </c>
      <c r="W75" s="584">
        <f>X29</f>
        <v>1.0649768848279992</v>
      </c>
      <c r="X75" s="557">
        <f>V75+1</f>
        <v>1.6659999999999999</v>
      </c>
      <c r="Y75" s="557">
        <f>X32</f>
        <v>1.0567590296487801</v>
      </c>
      <c r="Z75" s="585">
        <f>2+V75</f>
        <v>2.6659999999999999</v>
      </c>
      <c r="AA75" s="585">
        <f>X35</f>
        <v>0.95915336143878294</v>
      </c>
      <c r="AB75" s="521">
        <f>3+V75</f>
        <v>3.6659999999999999</v>
      </c>
      <c r="AC75" s="521">
        <f>X38</f>
        <v>0.95731126495480512</v>
      </c>
      <c r="AD75" s="533">
        <f>4+V75</f>
        <v>4.6660000000000004</v>
      </c>
      <c r="AE75" s="522">
        <f>X41</f>
        <v>0.87671095373194685</v>
      </c>
      <c r="AF75" s="547"/>
      <c r="AG75" s="547"/>
      <c r="AH75" s="506"/>
      <c r="AI75" s="506"/>
      <c r="AJ75" s="506"/>
      <c r="AK75" s="509"/>
      <c r="AO75" s="667"/>
      <c r="AP75" s="1"/>
      <c r="AQ75" s="1"/>
    </row>
    <row r="76" spans="2:43">
      <c r="B76" s="201"/>
      <c r="C76" s="201"/>
      <c r="D76" s="201"/>
      <c r="E76" s="201"/>
      <c r="F76" s="201"/>
      <c r="G76" s="201"/>
      <c r="H76" s="201"/>
      <c r="I76" s="201"/>
      <c r="J76" s="201"/>
      <c r="K76" s="201"/>
      <c r="L76" s="201"/>
      <c r="M76" s="201"/>
      <c r="N76" s="201"/>
      <c r="O76" s="201"/>
      <c r="P76" s="201"/>
      <c r="Q76" s="201"/>
      <c r="R76" s="201"/>
      <c r="S76" s="204"/>
      <c r="U76" s="939"/>
      <c r="V76" s="586">
        <f>V75</f>
        <v>0.66600000000000004</v>
      </c>
      <c r="W76" s="575">
        <f>X30</f>
        <v>1.0285399563027453</v>
      </c>
      <c r="X76" s="576">
        <f>V76+1</f>
        <v>1.6659999999999999</v>
      </c>
      <c r="Y76" s="576">
        <f>X33</f>
        <v>1.0701736912628501</v>
      </c>
      <c r="Z76" s="577">
        <f>2+V76</f>
        <v>2.6659999999999999</v>
      </c>
      <c r="AA76" s="577">
        <f>X36</f>
        <v>1.097868766595461</v>
      </c>
      <c r="AB76" s="42">
        <f>3+V75</f>
        <v>3.6659999999999999</v>
      </c>
      <c r="AC76" s="42">
        <f>X39</f>
        <v>1.2481682015320135</v>
      </c>
      <c r="AD76" s="528">
        <f>4+V76</f>
        <v>4.6660000000000004</v>
      </c>
      <c r="AE76" s="36">
        <f>X42</f>
        <v>1.1804250910127834</v>
      </c>
      <c r="AF76" s="547"/>
      <c r="AG76" s="547"/>
      <c r="AH76" s="506"/>
      <c r="AI76" s="506"/>
      <c r="AJ76" s="506"/>
      <c r="AK76" s="509"/>
      <c r="AO76" s="667"/>
      <c r="AP76" s="1"/>
      <c r="AQ76" s="1"/>
    </row>
    <row r="77" spans="2:43" ht="16.2" thickBot="1">
      <c r="B77" s="201"/>
      <c r="C77" s="201"/>
      <c r="D77" s="201"/>
      <c r="E77" s="201"/>
      <c r="F77" s="201"/>
      <c r="G77" s="201"/>
      <c r="H77" s="201"/>
      <c r="I77" s="201"/>
      <c r="J77" s="201"/>
      <c r="K77" s="201"/>
      <c r="L77" s="201"/>
      <c r="M77" s="201"/>
      <c r="N77" s="201"/>
      <c r="O77" s="201"/>
      <c r="P77" s="201"/>
      <c r="Q77" s="201"/>
      <c r="R77" s="201"/>
      <c r="S77" s="204"/>
      <c r="U77" s="940"/>
      <c r="V77" s="590">
        <f>V76</f>
        <v>0.66600000000000004</v>
      </c>
      <c r="W77" s="616">
        <f>X31</f>
        <v>0.91293246367781822</v>
      </c>
      <c r="X77" s="617">
        <f>1+V77</f>
        <v>1.6659999999999999</v>
      </c>
      <c r="Y77" s="617">
        <f>X34</f>
        <v>0.88423919643229809</v>
      </c>
      <c r="Z77" s="618">
        <f>2+V77</f>
        <v>2.6659999999999999</v>
      </c>
      <c r="AA77" s="618">
        <f>X37</f>
        <v>0.94964550492661126</v>
      </c>
      <c r="AB77" s="619">
        <f>3+V77</f>
        <v>3.6659999999999999</v>
      </c>
      <c r="AC77" s="619">
        <f>X40</f>
        <v>0.83690028612303802</v>
      </c>
      <c r="AD77" s="620">
        <f>4+V77</f>
        <v>4.6660000000000004</v>
      </c>
      <c r="AE77" s="591">
        <f>X43</f>
        <v>0.96628477117497291</v>
      </c>
      <c r="AF77" s="547"/>
      <c r="AG77" s="547"/>
      <c r="AH77" s="506"/>
      <c r="AI77" s="506"/>
      <c r="AJ77" s="506"/>
      <c r="AK77" s="509"/>
      <c r="AO77" s="1"/>
      <c r="AP77" s="147"/>
      <c r="AQ77" s="147"/>
    </row>
    <row r="78" spans="2:43" ht="16.2" thickTop="1">
      <c r="B78" s="201"/>
      <c r="C78" s="201"/>
      <c r="D78" s="201"/>
      <c r="E78" s="201"/>
      <c r="F78" s="201"/>
      <c r="G78" s="201"/>
      <c r="H78" s="201"/>
      <c r="I78" s="201"/>
      <c r="J78" s="201"/>
      <c r="K78" s="201"/>
      <c r="L78" s="201"/>
      <c r="M78" s="201"/>
      <c r="N78" s="201"/>
      <c r="O78" s="201"/>
      <c r="P78" s="201"/>
      <c r="Q78" s="201"/>
      <c r="R78" s="201"/>
      <c r="S78" s="204"/>
      <c r="U78" s="941" t="str">
        <f>Calculations_1!Q3</f>
        <v>Set 1 24h</v>
      </c>
      <c r="V78" s="588">
        <v>0.8</v>
      </c>
      <c r="W78" s="611">
        <f>Z29</f>
        <v>0.41645960643024144</v>
      </c>
      <c r="X78" s="612">
        <f>1+V78</f>
        <v>1.8</v>
      </c>
      <c r="Y78" s="612">
        <f>Z32</f>
        <v>0.6936765560603535</v>
      </c>
      <c r="Z78" s="613">
        <f>2+V78</f>
        <v>2.8</v>
      </c>
      <c r="AA78" s="613">
        <f>Z35</f>
        <v>0.17263368756432385</v>
      </c>
      <c r="AB78" s="614">
        <f>3+V78</f>
        <v>3.8</v>
      </c>
      <c r="AC78" s="614">
        <f>Z38</f>
        <v>0.13073718193499692</v>
      </c>
      <c r="AD78" s="615">
        <f>4+V78</f>
        <v>4.8</v>
      </c>
      <c r="AE78" s="589">
        <f>Z41</f>
        <v>0.22329540952965868</v>
      </c>
      <c r="AF78" s="547"/>
      <c r="AG78" s="547"/>
      <c r="AH78" s="506"/>
      <c r="AI78" s="506"/>
      <c r="AJ78" s="506"/>
      <c r="AK78" s="509"/>
      <c r="AO78" s="665"/>
      <c r="AP78" s="1"/>
      <c r="AQ78" s="1"/>
    </row>
    <row r="79" spans="2:43">
      <c r="B79" s="201"/>
      <c r="C79" s="201"/>
      <c r="D79" s="201"/>
      <c r="E79" s="201"/>
      <c r="F79" s="201"/>
      <c r="G79" s="201"/>
      <c r="H79" s="201"/>
      <c r="I79" s="201"/>
      <c r="J79" s="201"/>
      <c r="K79" s="201"/>
      <c r="L79" s="201"/>
      <c r="M79" s="201"/>
      <c r="N79" s="201"/>
      <c r="O79" s="201"/>
      <c r="P79" s="201"/>
      <c r="Q79" s="201"/>
      <c r="R79" s="201"/>
      <c r="S79" s="204"/>
      <c r="U79" s="942"/>
      <c r="V79" s="572">
        <f>V78</f>
        <v>0.8</v>
      </c>
      <c r="W79" s="578">
        <f>Z30</f>
        <v>0.22882517416806944</v>
      </c>
      <c r="X79" s="561">
        <f t="shared" ref="X79:X92" si="30">1+V79</f>
        <v>1.8</v>
      </c>
      <c r="Y79" s="561">
        <f>Z33</f>
        <v>0.27279708023362575</v>
      </c>
      <c r="Z79" s="579">
        <f t="shared" ref="Z79:Z92" si="31">2+V79</f>
        <v>2.8</v>
      </c>
      <c r="AA79" s="579">
        <f>Z36</f>
        <v>0.14579369221131175</v>
      </c>
      <c r="AB79" s="43">
        <f t="shared" ref="AB79:AB92" si="32">3+V79</f>
        <v>3.8</v>
      </c>
      <c r="AC79" s="43">
        <f>Z39</f>
        <v>0.12537895240865263</v>
      </c>
      <c r="AD79" s="529">
        <f t="shared" ref="AD79:AD92" si="33">4+V79</f>
        <v>4.8</v>
      </c>
      <c r="AE79" s="37">
        <f>Z42</f>
        <v>0.33749798804287862</v>
      </c>
      <c r="AF79" s="547"/>
      <c r="AG79" s="547"/>
      <c r="AH79" s="506"/>
      <c r="AI79" s="506"/>
      <c r="AJ79" s="506"/>
      <c r="AK79" s="509"/>
      <c r="AO79" s="665"/>
      <c r="AP79" s="1"/>
      <c r="AQ79" s="1"/>
    </row>
    <row r="80" spans="2:43" ht="16.2" thickBot="1">
      <c r="B80" s="201"/>
      <c r="C80" s="201"/>
      <c r="D80" s="201"/>
      <c r="E80" s="201"/>
      <c r="F80" s="201"/>
      <c r="G80" s="201"/>
      <c r="H80" s="201"/>
      <c r="I80" s="201"/>
      <c r="J80" s="201"/>
      <c r="K80" s="201"/>
      <c r="L80" s="201"/>
      <c r="M80" s="201"/>
      <c r="N80" s="201"/>
      <c r="O80" s="201"/>
      <c r="P80" s="201"/>
      <c r="Q80" s="201"/>
      <c r="R80" s="201"/>
      <c r="S80" s="204"/>
      <c r="U80" s="943"/>
      <c r="V80" s="594">
        <f>V78</f>
        <v>0.8</v>
      </c>
      <c r="W80" s="626">
        <f>Z31</f>
        <v>0.22624804071495339</v>
      </c>
      <c r="X80" s="627">
        <f t="shared" si="30"/>
        <v>1.8</v>
      </c>
      <c r="Y80" s="627">
        <f>Z34</f>
        <v>0.39217030902202554</v>
      </c>
      <c r="Z80" s="628">
        <f t="shared" si="31"/>
        <v>2.8</v>
      </c>
      <c r="AA80" s="628">
        <f>Z37</f>
        <v>0.18241802336506574</v>
      </c>
      <c r="AB80" s="629">
        <f t="shared" si="32"/>
        <v>3.8</v>
      </c>
      <c r="AC80" s="629">
        <f>Z40</f>
        <v>5.9698232560464519E-2</v>
      </c>
      <c r="AD80" s="630">
        <f t="shared" si="33"/>
        <v>4.8</v>
      </c>
      <c r="AE80" s="595">
        <f>Z43</f>
        <v>0.17976462382717531</v>
      </c>
      <c r="AF80" s="547"/>
      <c r="AG80" s="547"/>
      <c r="AH80" s="506"/>
      <c r="AI80" s="506"/>
      <c r="AJ80" s="506"/>
      <c r="AK80" s="509"/>
      <c r="AO80" s="665"/>
      <c r="AP80" s="1"/>
      <c r="AQ80" s="1"/>
    </row>
    <row r="81" spans="2:43" ht="16.2" thickTop="1">
      <c r="B81" s="201"/>
      <c r="C81" s="201"/>
      <c r="D81" s="201"/>
      <c r="E81" s="201"/>
      <c r="F81" s="201"/>
      <c r="G81" s="201"/>
      <c r="H81" s="201"/>
      <c r="I81" s="201"/>
      <c r="J81" s="201"/>
      <c r="K81" s="201"/>
      <c r="L81" s="201"/>
      <c r="M81" s="201"/>
      <c r="N81" s="201"/>
      <c r="O81" s="201"/>
      <c r="P81" s="201"/>
      <c r="Q81" s="201"/>
      <c r="R81" s="201"/>
      <c r="S81" s="204"/>
      <c r="U81" s="944" t="str">
        <f>Calculations_1!AB3</f>
        <v>Set 2 24h</v>
      </c>
      <c r="V81" s="592">
        <v>0.93</v>
      </c>
      <c r="W81" s="621">
        <f>AB29</f>
        <v>0.18184729533706392</v>
      </c>
      <c r="X81" s="622">
        <f t="shared" si="30"/>
        <v>1.9300000000000002</v>
      </c>
      <c r="Y81" s="622">
        <f>AB32</f>
        <v>0.30950712517343493</v>
      </c>
      <c r="Z81" s="623">
        <f t="shared" si="31"/>
        <v>2.93</v>
      </c>
      <c r="AA81" s="623">
        <f>AB35</f>
        <v>0.203634806630802</v>
      </c>
      <c r="AB81" s="624">
        <f t="shared" si="32"/>
        <v>3.93</v>
      </c>
      <c r="AC81" s="624">
        <f>AB38</f>
        <v>0.27739609685027516</v>
      </c>
      <c r="AD81" s="625">
        <f t="shared" si="33"/>
        <v>4.93</v>
      </c>
      <c r="AE81" s="593">
        <f>AB41</f>
        <v>0.50860096620486972</v>
      </c>
      <c r="AF81" s="506"/>
      <c r="AG81" s="506"/>
      <c r="AH81" s="506"/>
      <c r="AI81" s="506"/>
      <c r="AJ81" s="506"/>
      <c r="AK81" s="509"/>
      <c r="AO81" s="665"/>
      <c r="AP81" s="1"/>
      <c r="AQ81" s="1"/>
    </row>
    <row r="82" spans="2:43">
      <c r="B82" s="201"/>
      <c r="C82" s="201"/>
      <c r="D82" s="201"/>
      <c r="E82" s="201"/>
      <c r="F82" s="201"/>
      <c r="G82" s="201"/>
      <c r="H82" s="201"/>
      <c r="I82" s="201"/>
      <c r="J82" s="201"/>
      <c r="K82" s="201"/>
      <c r="L82" s="201"/>
      <c r="M82" s="201"/>
      <c r="N82" s="201"/>
      <c r="O82" s="201"/>
      <c r="P82" s="201"/>
      <c r="Q82" s="201"/>
      <c r="R82" s="201"/>
      <c r="S82" s="204"/>
      <c r="U82" s="945"/>
      <c r="V82" s="573">
        <f>V81</f>
        <v>0.93</v>
      </c>
      <c r="W82" s="580">
        <f>AB30</f>
        <v>0.28511556899167234</v>
      </c>
      <c r="X82" s="564">
        <f t="shared" si="30"/>
        <v>1.9300000000000002</v>
      </c>
      <c r="Y82" s="564">
        <f>AB33</f>
        <v>0.32293026453366291</v>
      </c>
      <c r="Z82" s="581">
        <f t="shared" si="31"/>
        <v>2.93</v>
      </c>
      <c r="AA82" s="581">
        <f>AB36</f>
        <v>0.19652302631767085</v>
      </c>
      <c r="AB82" s="44">
        <f t="shared" si="32"/>
        <v>3.93</v>
      </c>
      <c r="AC82" s="44">
        <f>AB39</f>
        <v>0.33283428878825</v>
      </c>
      <c r="AD82" s="530">
        <f t="shared" si="33"/>
        <v>4.93</v>
      </c>
      <c r="AE82" s="38">
        <f>AB42</f>
        <v>0.74603541470613477</v>
      </c>
      <c r="AF82" s="506"/>
      <c r="AG82" s="506"/>
      <c r="AH82" s="506"/>
      <c r="AI82" s="506"/>
      <c r="AJ82" s="506"/>
      <c r="AK82" s="509"/>
      <c r="AO82" s="667"/>
      <c r="AP82" s="1"/>
      <c r="AQ82" s="1"/>
    </row>
    <row r="83" spans="2:43" ht="16.2" thickBot="1">
      <c r="B83" s="201"/>
      <c r="C83" s="201"/>
      <c r="D83" s="201"/>
      <c r="E83" s="201"/>
      <c r="F83" s="201"/>
      <c r="G83" s="201"/>
      <c r="H83" s="201"/>
      <c r="I83" s="201"/>
      <c r="J83" s="201"/>
      <c r="K83" s="201"/>
      <c r="L83" s="201"/>
      <c r="M83" s="201"/>
      <c r="N83" s="201"/>
      <c r="O83" s="201"/>
      <c r="P83" s="201"/>
      <c r="Q83" s="201"/>
      <c r="R83" s="201"/>
      <c r="S83" s="204"/>
      <c r="U83" s="946"/>
      <c r="V83" s="598">
        <f>V81</f>
        <v>0.93</v>
      </c>
      <c r="W83" s="636">
        <f>AB31</f>
        <v>0.18354681961763783</v>
      </c>
      <c r="X83" s="637">
        <f t="shared" si="30"/>
        <v>1.9300000000000002</v>
      </c>
      <c r="Y83" s="637">
        <f>AB34</f>
        <v>0.30863041140502617</v>
      </c>
      <c r="Z83" s="638">
        <f t="shared" si="31"/>
        <v>2.93</v>
      </c>
      <c r="AA83" s="638">
        <f>AB37</f>
        <v>0.22371692963999809</v>
      </c>
      <c r="AB83" s="639">
        <f t="shared" si="32"/>
        <v>3.93</v>
      </c>
      <c r="AC83" s="639">
        <f>AB40</f>
        <v>0.25252212251741291</v>
      </c>
      <c r="AD83" s="640">
        <f t="shared" si="33"/>
        <v>4.93</v>
      </c>
      <c r="AE83" s="599">
        <f>AB43</f>
        <v>0.56076160680058895</v>
      </c>
      <c r="AF83" s="506"/>
      <c r="AG83" s="506"/>
      <c r="AH83" s="506"/>
      <c r="AI83" s="506"/>
      <c r="AJ83" s="506"/>
      <c r="AK83" s="509"/>
      <c r="AO83" s="667"/>
      <c r="AP83" s="1"/>
      <c r="AQ83" s="1"/>
    </row>
    <row r="84" spans="2:43" ht="16.2" thickTop="1">
      <c r="B84" s="201"/>
      <c r="C84" s="201"/>
      <c r="D84" s="201"/>
      <c r="E84" s="201"/>
      <c r="F84" s="201"/>
      <c r="G84" s="201"/>
      <c r="H84" s="201"/>
      <c r="I84" s="201"/>
      <c r="J84" s="201"/>
      <c r="K84" s="201"/>
      <c r="L84" s="201"/>
      <c r="M84" s="201"/>
      <c r="N84" s="201"/>
      <c r="O84" s="201"/>
      <c r="P84" s="201"/>
      <c r="Q84" s="201"/>
      <c r="R84" s="201"/>
      <c r="S84" s="204"/>
      <c r="U84" s="947" t="str">
        <f>Calculations_1!AM3</f>
        <v>Set 4 24h</v>
      </c>
      <c r="V84" s="596">
        <v>1.0649999999999999</v>
      </c>
      <c r="W84" s="631">
        <f>AD29</f>
        <v>0.20897491955851222</v>
      </c>
      <c r="X84" s="632">
        <f t="shared" si="30"/>
        <v>2.0649999999999999</v>
      </c>
      <c r="Y84" s="632">
        <f>AD32</f>
        <v>0.83292122784334754</v>
      </c>
      <c r="Z84" s="633">
        <f t="shared" si="31"/>
        <v>3.0649999999999999</v>
      </c>
      <c r="AA84" s="633">
        <f>AD35</f>
        <v>0.15618700662081381</v>
      </c>
      <c r="AB84" s="634">
        <f t="shared" si="32"/>
        <v>4.0649999999999995</v>
      </c>
      <c r="AC84" s="634">
        <f>AD38</f>
        <v>5.0831043712823501E-2</v>
      </c>
      <c r="AD84" s="635">
        <f t="shared" si="33"/>
        <v>5.0649999999999995</v>
      </c>
      <c r="AE84" s="597">
        <f>AD41</f>
        <v>0.43754655190818187</v>
      </c>
      <c r="AF84" s="506"/>
      <c r="AG84" s="506"/>
      <c r="AH84" s="506"/>
      <c r="AI84" s="506"/>
      <c r="AJ84" s="506"/>
      <c r="AK84" s="509"/>
    </row>
    <row r="85" spans="2:43">
      <c r="B85" s="201"/>
      <c r="C85" s="201"/>
      <c r="D85" s="201"/>
      <c r="E85" s="201"/>
      <c r="F85" s="201"/>
      <c r="G85" s="201"/>
      <c r="H85" s="201"/>
      <c r="I85" s="201"/>
      <c r="J85" s="201"/>
      <c r="K85" s="201"/>
      <c r="L85" s="201"/>
      <c r="M85" s="201"/>
      <c r="N85" s="201"/>
      <c r="O85" s="201"/>
      <c r="P85" s="201"/>
      <c r="Q85" s="201"/>
      <c r="R85" s="201"/>
      <c r="S85" s="204"/>
      <c r="U85" s="948"/>
      <c r="V85" s="574">
        <f>V84</f>
        <v>1.0649999999999999</v>
      </c>
      <c r="W85" s="582">
        <f>AD30</f>
        <v>0.19003515898692047</v>
      </c>
      <c r="X85" s="567">
        <f t="shared" si="30"/>
        <v>2.0649999999999999</v>
      </c>
      <c r="Y85" s="567">
        <f>AD33</f>
        <v>0.86582335138058319</v>
      </c>
      <c r="Z85" s="583">
        <f t="shared" si="31"/>
        <v>3.0649999999999999</v>
      </c>
      <c r="AA85" s="583">
        <f>AD36</f>
        <v>0.22540249484585298</v>
      </c>
      <c r="AB85" s="45">
        <f t="shared" si="32"/>
        <v>4.0649999999999995</v>
      </c>
      <c r="AC85" s="45">
        <f>AD39</f>
        <v>2.7780139338319788E-2</v>
      </c>
      <c r="AD85" s="531">
        <f t="shared" si="33"/>
        <v>5.0649999999999995</v>
      </c>
      <c r="AE85" s="39">
        <f>AD42</f>
        <v>0.27684799082223627</v>
      </c>
      <c r="AF85" s="506"/>
      <c r="AG85" s="506"/>
      <c r="AH85" s="506"/>
      <c r="AI85" s="506"/>
      <c r="AJ85" s="506"/>
      <c r="AK85" s="509"/>
    </row>
    <row r="86" spans="2:43" ht="16.2" thickBot="1">
      <c r="B86" s="201"/>
      <c r="C86" s="201"/>
      <c r="D86" s="201"/>
      <c r="E86" s="201"/>
      <c r="F86" s="201"/>
      <c r="G86" s="201"/>
      <c r="H86" s="201"/>
      <c r="I86" s="201"/>
      <c r="J86" s="201"/>
      <c r="K86" s="201"/>
      <c r="L86" s="201"/>
      <c r="M86" s="201"/>
      <c r="N86" s="201"/>
      <c r="O86" s="201"/>
      <c r="P86" s="201"/>
      <c r="Q86" s="201"/>
      <c r="R86" s="201"/>
      <c r="S86" s="204"/>
      <c r="U86" s="949"/>
      <c r="V86" s="602">
        <f>V84</f>
        <v>1.0649999999999999</v>
      </c>
      <c r="W86" s="647">
        <f>AD31</f>
        <v>0.23706942787035645</v>
      </c>
      <c r="X86" s="648">
        <f t="shared" si="30"/>
        <v>2.0649999999999999</v>
      </c>
      <c r="Y86" s="648">
        <f>AD34</f>
        <v>0.76086562937329794</v>
      </c>
      <c r="Z86" s="649">
        <f t="shared" si="31"/>
        <v>3.0649999999999999</v>
      </c>
      <c r="AA86" s="649">
        <f>AD37</f>
        <v>0.15771600324890289</v>
      </c>
      <c r="AB86" s="650">
        <f t="shared" si="32"/>
        <v>4.0649999999999995</v>
      </c>
      <c r="AC86" s="650">
        <f>AD40</f>
        <v>3.2949011439087919E-2</v>
      </c>
      <c r="AD86" s="651">
        <f t="shared" si="33"/>
        <v>5.0649999999999995</v>
      </c>
      <c r="AE86" s="603">
        <f>AD43</f>
        <v>0.2168423256826503</v>
      </c>
      <c r="AF86" s="506"/>
      <c r="AG86" s="506"/>
      <c r="AH86" s="506"/>
      <c r="AI86" s="506"/>
      <c r="AJ86" s="506"/>
      <c r="AK86" s="509"/>
    </row>
    <row r="87" spans="2:43" ht="16.2" thickTop="1">
      <c r="B87" s="201"/>
      <c r="C87" s="201"/>
      <c r="D87" s="201"/>
      <c r="E87" s="201"/>
      <c r="F87" s="201"/>
      <c r="G87" s="201"/>
      <c r="H87" s="201"/>
      <c r="I87" s="201"/>
      <c r="J87" s="201"/>
      <c r="K87" s="201"/>
      <c r="L87" s="201"/>
      <c r="M87" s="201"/>
      <c r="N87" s="201"/>
      <c r="O87" s="201"/>
      <c r="P87" s="201"/>
      <c r="Q87" s="201"/>
      <c r="R87" s="201"/>
      <c r="S87" s="204"/>
      <c r="U87" s="933" t="str">
        <f>Calculations_1!AX3</f>
        <v>Set 5 24h</v>
      </c>
      <c r="V87" s="600">
        <v>1.2</v>
      </c>
      <c r="W87" s="641">
        <f>AF29</f>
        <v>0.73749426602714252</v>
      </c>
      <c r="X87" s="642">
        <f t="shared" si="30"/>
        <v>2.2000000000000002</v>
      </c>
      <c r="Y87" s="642">
        <f>AF32</f>
        <v>1.8018019406838788</v>
      </c>
      <c r="Z87" s="643">
        <f t="shared" si="31"/>
        <v>3.2</v>
      </c>
      <c r="AA87" s="644">
        <f>AF35</f>
        <v>0.54603343857545172</v>
      </c>
      <c r="AB87" s="645">
        <f t="shared" si="32"/>
        <v>4.2</v>
      </c>
      <c r="AC87" s="645">
        <f>AF38</f>
        <v>0.10646655967893662</v>
      </c>
      <c r="AD87" s="646">
        <f t="shared" si="33"/>
        <v>5.2</v>
      </c>
      <c r="AE87" s="601">
        <f>AF41</f>
        <v>0.4345871292635648</v>
      </c>
      <c r="AF87" s="506"/>
      <c r="AG87" s="506"/>
      <c r="AH87" s="506"/>
      <c r="AI87" s="506"/>
      <c r="AJ87" s="506"/>
      <c r="AK87" s="509"/>
    </row>
    <row r="88" spans="2:43">
      <c r="B88" s="201"/>
      <c r="C88" s="201"/>
      <c r="D88" s="201"/>
      <c r="E88" s="201"/>
      <c r="F88" s="201"/>
      <c r="G88" s="201"/>
      <c r="H88" s="201"/>
      <c r="I88" s="201"/>
      <c r="J88" s="201"/>
      <c r="K88" s="201"/>
      <c r="L88" s="201"/>
      <c r="M88" s="201"/>
      <c r="N88" s="201"/>
      <c r="O88" s="201"/>
      <c r="P88" s="201"/>
      <c r="Q88" s="201"/>
      <c r="R88" s="201"/>
      <c r="S88" s="204"/>
      <c r="U88" s="934"/>
      <c r="V88" s="534">
        <f>V87</f>
        <v>1.2</v>
      </c>
      <c r="W88" s="32">
        <f>AF30</f>
        <v>0.59975175196635033</v>
      </c>
      <c r="X88" s="30">
        <f t="shared" si="30"/>
        <v>2.2000000000000002</v>
      </c>
      <c r="Y88" s="30">
        <f>AF33</f>
        <v>0.71645040408527227</v>
      </c>
      <c r="Z88" s="608">
        <f t="shared" si="31"/>
        <v>3.2</v>
      </c>
      <c r="AA88" s="34">
        <f>AF36</f>
        <v>0.21574294462620933</v>
      </c>
      <c r="AB88" s="46">
        <f t="shared" si="32"/>
        <v>4.2</v>
      </c>
      <c r="AC88" s="46">
        <f>AF39</f>
        <v>2.6901889522691499E-2</v>
      </c>
      <c r="AD88" s="532">
        <f t="shared" si="33"/>
        <v>5.2</v>
      </c>
      <c r="AE88" s="40">
        <f>AF42</f>
        <v>0.20092930208914486</v>
      </c>
      <c r="AF88" s="506"/>
      <c r="AG88" s="506"/>
      <c r="AH88" s="506"/>
      <c r="AI88" s="506"/>
      <c r="AJ88" s="506"/>
      <c r="AK88" s="509"/>
    </row>
    <row r="89" spans="2:43" ht="16.2" thickBot="1">
      <c r="B89" s="201"/>
      <c r="C89" s="201"/>
      <c r="D89" s="201"/>
      <c r="E89" s="201"/>
      <c r="F89" s="201"/>
      <c r="G89" s="201"/>
      <c r="H89" s="201"/>
      <c r="I89" s="201"/>
      <c r="J89" s="201"/>
      <c r="K89" s="201"/>
      <c r="L89" s="201"/>
      <c r="M89" s="201"/>
      <c r="N89" s="201"/>
      <c r="O89" s="201"/>
      <c r="P89" s="201"/>
      <c r="Q89" s="201"/>
      <c r="R89" s="201"/>
      <c r="S89" s="204"/>
      <c r="U89" s="935"/>
      <c r="V89" s="606">
        <f>V87</f>
        <v>1.2</v>
      </c>
      <c r="W89" s="652">
        <f>AF31</f>
        <v>0.41010839334156768</v>
      </c>
      <c r="X89" s="653">
        <f t="shared" si="30"/>
        <v>2.2000000000000002</v>
      </c>
      <c r="Y89" s="653">
        <f>AF34</f>
        <v>0.57161200408115909</v>
      </c>
      <c r="Z89" s="654">
        <f t="shared" si="31"/>
        <v>3.2</v>
      </c>
      <c r="AA89" s="655">
        <f>AF37</f>
        <v>0.24454710379394859</v>
      </c>
      <c r="AB89" s="656">
        <f t="shared" si="32"/>
        <v>4.2</v>
      </c>
      <c r="AC89" s="656">
        <f>AF40</f>
        <v>2.6780611311067268E-2</v>
      </c>
      <c r="AD89" s="657">
        <f t="shared" si="33"/>
        <v>5.2</v>
      </c>
      <c r="AE89" s="607">
        <f>AF43</f>
        <v>0.26763346916825126</v>
      </c>
      <c r="AF89" s="506"/>
      <c r="AG89" s="506"/>
      <c r="AH89" s="506"/>
      <c r="AI89" s="506"/>
      <c r="AJ89" s="506"/>
      <c r="AK89" s="509"/>
    </row>
    <row r="90" spans="2:43" ht="16.2" thickTop="1">
      <c r="B90" s="203"/>
      <c r="C90" s="202"/>
      <c r="D90" s="202"/>
      <c r="E90" s="202"/>
      <c r="F90" s="202"/>
      <c r="G90" s="202"/>
      <c r="H90" s="202"/>
      <c r="I90" s="202"/>
      <c r="J90" s="202"/>
      <c r="K90" s="202"/>
      <c r="L90" s="202"/>
      <c r="M90" s="202"/>
      <c r="N90" s="202"/>
      <c r="O90" s="202"/>
      <c r="P90" s="202"/>
      <c r="Q90" s="202"/>
      <c r="R90" s="202"/>
      <c r="S90" s="205"/>
      <c r="U90" s="936" t="str">
        <f>Calculations_1!BI3</f>
        <v>GFP 24h</v>
      </c>
      <c r="V90" s="604">
        <v>1.335</v>
      </c>
      <c r="W90" s="658">
        <f>AH29</f>
        <v>0.35605176271569849</v>
      </c>
      <c r="X90" s="659">
        <f t="shared" si="30"/>
        <v>2.335</v>
      </c>
      <c r="Y90" s="659">
        <f>AH32</f>
        <v>0.10088556770406254</v>
      </c>
      <c r="Z90" s="660">
        <f t="shared" si="31"/>
        <v>3.335</v>
      </c>
      <c r="AA90" s="661">
        <f>AH35</f>
        <v>1.1544473806070179</v>
      </c>
      <c r="AB90" s="662">
        <f t="shared" si="32"/>
        <v>4.335</v>
      </c>
      <c r="AC90" s="662">
        <f>AH38</f>
        <v>2.0542703207127788</v>
      </c>
      <c r="AD90" s="663">
        <f t="shared" si="33"/>
        <v>5.335</v>
      </c>
      <c r="AE90" s="605">
        <f>AH41</f>
        <v>2.0745043761510771</v>
      </c>
      <c r="AF90" s="506"/>
      <c r="AG90" s="506"/>
      <c r="AH90" s="506"/>
      <c r="AI90" s="506"/>
      <c r="AJ90" s="506"/>
      <c r="AK90" s="509"/>
    </row>
    <row r="91" spans="2:43">
      <c r="U91" s="936"/>
      <c r="V91" s="587">
        <f>V90</f>
        <v>1.335</v>
      </c>
      <c r="W91" s="48">
        <f>AH30</f>
        <v>0.71031173355441313</v>
      </c>
      <c r="X91" s="49">
        <f t="shared" si="30"/>
        <v>2.335</v>
      </c>
      <c r="Y91" s="49">
        <f>AH33</f>
        <v>0.22660639132566865</v>
      </c>
      <c r="Z91" s="609">
        <f t="shared" si="31"/>
        <v>3.335</v>
      </c>
      <c r="AA91" s="50">
        <f>AH36</f>
        <v>1.1888812952940768</v>
      </c>
      <c r="AB91" s="51">
        <f t="shared" si="32"/>
        <v>4.335</v>
      </c>
      <c r="AC91" s="51">
        <f>AH39</f>
        <v>2.0530443855219693</v>
      </c>
      <c r="AD91" s="52">
        <f t="shared" si="33"/>
        <v>5.335</v>
      </c>
      <c r="AE91" s="53">
        <f>AH42</f>
        <v>2.1159020414820411</v>
      </c>
      <c r="AF91" s="506"/>
      <c r="AG91" s="506"/>
      <c r="AH91" s="506"/>
      <c r="AI91" s="506"/>
      <c r="AJ91" s="506"/>
      <c r="AK91" s="509"/>
    </row>
    <row r="92" spans="2:43" ht="16.2" thickBot="1">
      <c r="U92" s="937"/>
      <c r="V92" s="535">
        <f>V90</f>
        <v>1.335</v>
      </c>
      <c r="W92" s="33">
        <f>AH31</f>
        <v>0.50476947882741152</v>
      </c>
      <c r="X92" s="31">
        <f t="shared" si="30"/>
        <v>2.335</v>
      </c>
      <c r="Y92" s="31">
        <f>AH34</f>
        <v>0.17303246880483028</v>
      </c>
      <c r="Z92" s="610">
        <f t="shared" si="31"/>
        <v>3.335</v>
      </c>
      <c r="AA92" s="35">
        <f>AH37</f>
        <v>1.1379667691170592</v>
      </c>
      <c r="AB92" s="47">
        <f t="shared" si="32"/>
        <v>4.335</v>
      </c>
      <c r="AC92" s="47">
        <f>AH40</f>
        <v>2.1999258501230425</v>
      </c>
      <c r="AD92" s="536">
        <f t="shared" si="33"/>
        <v>5.335</v>
      </c>
      <c r="AE92" s="41">
        <f>AH43</f>
        <v>1.8726527946682321</v>
      </c>
      <c r="AF92" s="506"/>
      <c r="AG92" s="506"/>
      <c r="AH92" s="506"/>
      <c r="AI92" s="506"/>
      <c r="AJ92" s="506"/>
      <c r="AK92" s="509"/>
    </row>
    <row r="93" spans="2:43" ht="16.2" thickBot="1">
      <c r="B93" s="242"/>
      <c r="C93" s="906" t="s">
        <v>12</v>
      </c>
      <c r="D93" s="907"/>
      <c r="E93" s="907"/>
      <c r="F93" s="907"/>
      <c r="G93" s="907"/>
      <c r="H93" s="907"/>
      <c r="I93" s="907"/>
      <c r="J93" s="907"/>
      <c r="K93" s="907"/>
      <c r="L93" s="907"/>
      <c r="M93" s="907"/>
      <c r="N93" s="907"/>
      <c r="O93" s="907"/>
      <c r="P93" s="907"/>
      <c r="Q93" s="907"/>
      <c r="R93" s="907"/>
      <c r="S93" s="908"/>
      <c r="U93" s="505"/>
      <c r="V93" s="506"/>
      <c r="W93" s="506"/>
      <c r="X93" s="506"/>
      <c r="Y93" s="506"/>
      <c r="Z93" s="506"/>
      <c r="AA93" s="506"/>
      <c r="AB93" s="506"/>
      <c r="AC93" s="506"/>
      <c r="AD93" s="506"/>
      <c r="AE93" s="506"/>
      <c r="AF93" s="506"/>
      <c r="AG93" s="506"/>
      <c r="AH93" s="506"/>
      <c r="AI93" s="506"/>
      <c r="AJ93" s="506"/>
      <c r="AK93" s="509"/>
    </row>
    <row r="94" spans="2:43" ht="16.2" thickBot="1">
      <c r="B94" s="243"/>
      <c r="C94" s="906" t="str">
        <f>Calculations_1!B72</f>
        <v>RIG1</v>
      </c>
      <c r="D94" s="907"/>
      <c r="E94" s="907"/>
      <c r="F94" s="907"/>
      <c r="G94" s="907"/>
      <c r="H94" s="907"/>
      <c r="I94" s="907"/>
      <c r="J94" s="907"/>
      <c r="K94" s="907"/>
      <c r="L94" s="907"/>
      <c r="M94" s="907"/>
      <c r="N94" s="907"/>
      <c r="O94" s="907"/>
      <c r="P94" s="907"/>
      <c r="Q94" s="907"/>
      <c r="R94" s="907"/>
      <c r="S94" s="908"/>
      <c r="U94" s="505"/>
      <c r="V94" s="506"/>
      <c r="W94" s="506"/>
      <c r="X94" s="506"/>
      <c r="Y94" s="506"/>
      <c r="Z94" s="506"/>
      <c r="AA94" s="506"/>
      <c r="AB94" s="506"/>
      <c r="AC94" s="506"/>
      <c r="AD94" s="506"/>
      <c r="AE94" s="506"/>
      <c r="AF94" s="506"/>
      <c r="AG94" s="506"/>
      <c r="AH94" s="506"/>
      <c r="AI94" s="506"/>
      <c r="AJ94" s="506"/>
      <c r="AK94" s="509"/>
    </row>
    <row r="95" spans="2:43" ht="16.8" thickBot="1">
      <c r="B95" s="244"/>
      <c r="C95" s="5" t="s">
        <v>1</v>
      </c>
      <c r="D95" s="309" t="s">
        <v>26</v>
      </c>
      <c r="E95" s="310" t="s">
        <v>24</v>
      </c>
      <c r="F95" s="311" t="s">
        <v>25</v>
      </c>
      <c r="G95" s="312"/>
      <c r="H95" s="313" t="str">
        <f>(B96) &amp; "x"</f>
        <v>WT 24hx</v>
      </c>
      <c r="I95" s="314" t="str">
        <f>B96</f>
        <v>WT 24h</v>
      </c>
      <c r="J95" s="314" t="str">
        <f>B99 &amp; "x"</f>
        <v>Set 1 24hx</v>
      </c>
      <c r="K95" s="314" t="str">
        <f>B99</f>
        <v>Set 1 24h</v>
      </c>
      <c r="L95" s="314" t="str">
        <f>B102 &amp; "x"</f>
        <v>Set 2 24hx</v>
      </c>
      <c r="M95" s="314" t="str">
        <f>B102</f>
        <v>Set 2 24h</v>
      </c>
      <c r="N95" s="314" t="str">
        <f>B105 &amp; "x"</f>
        <v>Set 4 24hx</v>
      </c>
      <c r="O95" s="314" t="str">
        <f>B105</f>
        <v>Set 4 24h</v>
      </c>
      <c r="P95" s="314" t="str">
        <f>B108 &amp; "x"</f>
        <v>Set 5 24hx</v>
      </c>
      <c r="Q95" s="314" t="str">
        <f>B108</f>
        <v>Set 5 24h</v>
      </c>
      <c r="R95" s="314" t="str">
        <f>B111 &amp; "x"</f>
        <v>GFP 24hx</v>
      </c>
      <c r="S95" s="315" t="str">
        <f>B111</f>
        <v>GFP 24h</v>
      </c>
      <c r="U95" s="505"/>
      <c r="V95" s="506"/>
      <c r="W95" s="506"/>
      <c r="X95" s="506"/>
      <c r="Y95" s="506"/>
      <c r="Z95" s="506"/>
      <c r="AA95" s="506"/>
      <c r="AB95" s="506"/>
      <c r="AC95" s="506"/>
      <c r="AD95" s="506"/>
      <c r="AE95" s="506"/>
      <c r="AF95" s="506"/>
      <c r="AG95" s="506"/>
      <c r="AH95" s="506"/>
      <c r="AI95" s="506"/>
      <c r="AJ95" s="506"/>
      <c r="AK95" s="509"/>
    </row>
    <row r="96" spans="2:43">
      <c r="B96" s="903" t="str">
        <f>Calculations_1!E3</f>
        <v>WT 24h</v>
      </c>
      <c r="C96" s="130" t="str">
        <f>Calculations_1!D72</f>
        <v>WT 24h</v>
      </c>
      <c r="D96" s="316">
        <f>Calculations_1!K72</f>
        <v>0.95915336143878294</v>
      </c>
      <c r="E96" s="909">
        <f>AVERAGE(D96:D98)</f>
        <v>1.0022225443202852</v>
      </c>
      <c r="F96" s="911">
        <f>STDEV(D96:D98)</f>
        <v>8.2968365721510257E-2</v>
      </c>
      <c r="G96" s="312"/>
      <c r="H96" s="317">
        <v>1.002</v>
      </c>
      <c r="I96" s="318">
        <f>D96</f>
        <v>0.95915336143878294</v>
      </c>
      <c r="J96" s="318">
        <v>2.0019999999999998</v>
      </c>
      <c r="K96" s="318">
        <f>D99</f>
        <v>0.17263368756432385</v>
      </c>
      <c r="L96" s="318">
        <v>3.0019999999999998</v>
      </c>
      <c r="M96" s="318">
        <f>D102</f>
        <v>0.203634806630802</v>
      </c>
      <c r="N96" s="318">
        <v>4.0019999999999998</v>
      </c>
      <c r="O96" s="318">
        <f>D105</f>
        <v>0.15618700662081381</v>
      </c>
      <c r="P96" s="318">
        <v>5.0019999999999998</v>
      </c>
      <c r="Q96" s="318">
        <f>D108</f>
        <v>0.54603343857545172</v>
      </c>
      <c r="R96" s="318">
        <v>6.0019999999999998</v>
      </c>
      <c r="S96" s="319">
        <f>D111</f>
        <v>1.1544473806070179</v>
      </c>
      <c r="U96" s="505"/>
      <c r="V96" s="506"/>
      <c r="W96" s="506"/>
      <c r="X96" s="506"/>
      <c r="Y96" s="506"/>
      <c r="Z96" s="506"/>
      <c r="AA96" s="506"/>
      <c r="AB96" s="506"/>
      <c r="AC96" s="506"/>
      <c r="AD96" s="506"/>
      <c r="AE96" s="506"/>
      <c r="AF96" s="506"/>
      <c r="AG96" s="506"/>
      <c r="AH96" s="506"/>
      <c r="AI96" s="506"/>
      <c r="AJ96" s="506"/>
      <c r="AK96" s="509"/>
    </row>
    <row r="97" spans="2:37">
      <c r="B97" s="904"/>
      <c r="C97" s="250" t="str">
        <f>Calculations_1!D75</f>
        <v>WT 24h</v>
      </c>
      <c r="D97" s="320">
        <f>Calculations_1!K75</f>
        <v>1.097868766595461</v>
      </c>
      <c r="E97" s="909"/>
      <c r="F97" s="911"/>
      <c r="G97" s="312"/>
      <c r="H97" s="321">
        <v>1.002</v>
      </c>
      <c r="I97" s="322">
        <f>D97</f>
        <v>1.097868766595461</v>
      </c>
      <c r="J97" s="322">
        <v>2.0019999999999998</v>
      </c>
      <c r="K97" s="322">
        <f>D100</f>
        <v>0.14579369221131175</v>
      </c>
      <c r="L97" s="322">
        <v>3.0019999999999998</v>
      </c>
      <c r="M97" s="322">
        <f>D103</f>
        <v>0.19652302631767085</v>
      </c>
      <c r="N97" s="322">
        <v>4.0019999999999998</v>
      </c>
      <c r="O97" s="322">
        <f>D106</f>
        <v>0.22540249484585298</v>
      </c>
      <c r="P97" s="322">
        <v>5.0019999999999998</v>
      </c>
      <c r="Q97" s="322">
        <f>D109</f>
        <v>0.21574294462620933</v>
      </c>
      <c r="R97" s="322">
        <v>6.0019999999999998</v>
      </c>
      <c r="S97" s="323">
        <f>D112</f>
        <v>1.1888812952940768</v>
      </c>
      <c r="U97" s="505"/>
      <c r="V97" s="506"/>
      <c r="W97" s="506"/>
      <c r="X97" s="506"/>
      <c r="Y97" s="506"/>
      <c r="Z97" s="506"/>
      <c r="AA97" s="506"/>
      <c r="AB97" s="506"/>
      <c r="AC97" s="506"/>
      <c r="AD97" s="506"/>
      <c r="AE97" s="506"/>
      <c r="AF97" s="506"/>
      <c r="AG97" s="506"/>
      <c r="AH97" s="506"/>
      <c r="AI97" s="506"/>
      <c r="AJ97" s="506"/>
      <c r="AK97" s="509"/>
    </row>
    <row r="98" spans="2:37" ht="16.2" thickBot="1">
      <c r="B98" s="905"/>
      <c r="C98" s="239" t="str">
        <f>Calculations_1!D78</f>
        <v>WT 24h</v>
      </c>
      <c r="D98" s="324">
        <f>Calculations_1!K78</f>
        <v>0.94964550492661126</v>
      </c>
      <c r="E98" s="910"/>
      <c r="F98" s="912"/>
      <c r="G98" s="312"/>
      <c r="H98" s="671">
        <v>1.002</v>
      </c>
      <c r="I98" s="325">
        <f>D98</f>
        <v>0.94964550492661126</v>
      </c>
      <c r="J98" s="325">
        <v>2.0019999999999998</v>
      </c>
      <c r="K98" s="325">
        <f>D101</f>
        <v>0.18241802336506574</v>
      </c>
      <c r="L98" s="325">
        <v>3.0019999999999998</v>
      </c>
      <c r="M98" s="325">
        <f>D104</f>
        <v>0.22371692963999809</v>
      </c>
      <c r="N98" s="325">
        <v>4.0019999999999998</v>
      </c>
      <c r="O98" s="325">
        <f>D107</f>
        <v>0.15771600324890289</v>
      </c>
      <c r="P98" s="325">
        <v>5.0019999999999998</v>
      </c>
      <c r="Q98" s="325">
        <f>D110</f>
        <v>0.24454710379394859</v>
      </c>
      <c r="R98" s="325">
        <v>6.0019999999999998</v>
      </c>
      <c r="S98" s="326">
        <f>D113</f>
        <v>1.1379667691170592</v>
      </c>
      <c r="U98" s="505"/>
      <c r="V98" s="506"/>
      <c r="W98" s="506"/>
      <c r="X98" s="506"/>
      <c r="Y98" s="506"/>
      <c r="Z98" s="506"/>
      <c r="AA98" s="506"/>
      <c r="AB98" s="506"/>
      <c r="AC98" s="506"/>
      <c r="AD98" s="506"/>
      <c r="AE98" s="506"/>
      <c r="AF98" s="506"/>
      <c r="AG98" s="506"/>
      <c r="AH98" s="506"/>
      <c r="AI98" s="506"/>
      <c r="AJ98" s="506"/>
      <c r="AK98" s="509"/>
    </row>
    <row r="99" spans="2:37" ht="16.2" thickBot="1">
      <c r="B99" s="883" t="str">
        <f>Calculations_1!Q3</f>
        <v>Set 1 24h</v>
      </c>
      <c r="C99" s="240" t="str">
        <f>Calculations_1!P72</f>
        <v>Set 1 24h</v>
      </c>
      <c r="D99" s="327">
        <f>Calculations_1!V72</f>
        <v>0.17263368756432385</v>
      </c>
      <c r="E99" s="909">
        <f>AVERAGE(D99:D101)</f>
        <v>0.16694846771356711</v>
      </c>
      <c r="F99" s="911">
        <f>STDEV(D99:D101)</f>
        <v>1.8962507789808226E-2</v>
      </c>
      <c r="G99" s="328"/>
      <c r="H99" s="328"/>
      <c r="I99" s="328"/>
      <c r="J99" s="328"/>
      <c r="K99" s="328"/>
      <c r="L99" s="328"/>
      <c r="M99" s="328"/>
      <c r="N99" s="328"/>
      <c r="O99" s="328"/>
      <c r="P99" s="328"/>
      <c r="Q99" s="328"/>
      <c r="R99" s="328"/>
      <c r="S99" s="333"/>
      <c r="U99" s="505"/>
      <c r="V99" s="506"/>
      <c r="W99" s="506"/>
      <c r="X99" s="506"/>
      <c r="Y99" s="506"/>
      <c r="Z99" s="506"/>
      <c r="AA99" s="506"/>
      <c r="AB99" s="506"/>
      <c r="AC99" s="506"/>
      <c r="AD99" s="506"/>
      <c r="AE99" s="506"/>
      <c r="AF99" s="506"/>
      <c r="AG99" s="506"/>
      <c r="AH99" s="506"/>
      <c r="AI99" s="506"/>
      <c r="AJ99" s="506"/>
      <c r="AK99" s="509"/>
    </row>
    <row r="100" spans="2:37" ht="16.2" thickBot="1">
      <c r="B100" s="884"/>
      <c r="C100" s="251" t="str">
        <f>Calculations_1!P75</f>
        <v>Set 1 24h</v>
      </c>
      <c r="D100" s="320">
        <f>Calculations_1!V75</f>
        <v>0.14579369221131175</v>
      </c>
      <c r="E100" s="909"/>
      <c r="F100" s="911"/>
      <c r="G100" s="328"/>
      <c r="H100" s="329"/>
      <c r="I100" s="330" t="str">
        <f>B96</f>
        <v>WT 24h</v>
      </c>
      <c r="J100" s="331" t="str">
        <f>B99</f>
        <v>Set 1 24h</v>
      </c>
      <c r="K100" s="331" t="str">
        <f>B102</f>
        <v>Set 2 24h</v>
      </c>
      <c r="L100" s="331" t="str">
        <f>B105</f>
        <v>Set 4 24h</v>
      </c>
      <c r="M100" s="331" t="str">
        <f>B108</f>
        <v>Set 5 24h</v>
      </c>
      <c r="N100" s="332" t="str">
        <f>B111</f>
        <v>GFP 24h</v>
      </c>
      <c r="O100" s="328"/>
      <c r="P100" s="328"/>
      <c r="Q100" s="328"/>
      <c r="R100" s="328"/>
      <c r="S100" s="333"/>
      <c r="U100" s="505"/>
      <c r="V100" s="506"/>
      <c r="W100" s="506"/>
      <c r="X100" s="506"/>
      <c r="Y100" s="506"/>
      <c r="Z100" s="506"/>
      <c r="AA100" s="506"/>
      <c r="AB100" s="506"/>
      <c r="AC100" s="506"/>
      <c r="AD100" s="506"/>
      <c r="AE100" s="506"/>
      <c r="AF100" s="506"/>
      <c r="AG100" s="506"/>
      <c r="AH100" s="506"/>
      <c r="AI100" s="506"/>
      <c r="AJ100" s="506"/>
      <c r="AK100" s="509"/>
    </row>
    <row r="101" spans="2:37" ht="16.8" thickBot="1">
      <c r="B101" s="885"/>
      <c r="C101" s="127" t="str">
        <f>Calculations_1!P78</f>
        <v>Set 1 24h</v>
      </c>
      <c r="D101" s="324">
        <f>Calculations_1!V78</f>
        <v>0.18241802336506574</v>
      </c>
      <c r="E101" s="910"/>
      <c r="F101" s="912"/>
      <c r="G101" s="328"/>
      <c r="H101" s="334" t="s">
        <v>24</v>
      </c>
      <c r="I101" s="335">
        <f>E96</f>
        <v>1.0022225443202852</v>
      </c>
      <c r="J101" s="336">
        <f>E99</f>
        <v>0.16694846771356711</v>
      </c>
      <c r="K101" s="336">
        <f>E102</f>
        <v>0.20795825419615699</v>
      </c>
      <c r="L101" s="336">
        <f>E105</f>
        <v>0.17976850157185656</v>
      </c>
      <c r="M101" s="336">
        <f>E108</f>
        <v>0.33544116233186988</v>
      </c>
      <c r="N101" s="337">
        <f>E111</f>
        <v>1.1604318150060513</v>
      </c>
      <c r="O101" s="328"/>
      <c r="P101" s="328"/>
      <c r="Q101" s="328"/>
      <c r="R101" s="328"/>
      <c r="S101" s="333"/>
      <c r="U101" s="505"/>
      <c r="V101" s="506"/>
      <c r="W101" s="506"/>
      <c r="X101" s="506"/>
      <c r="Y101" s="506"/>
      <c r="Z101" s="506"/>
      <c r="AA101" s="506"/>
      <c r="AB101" s="506"/>
      <c r="AC101" s="506"/>
      <c r="AD101" s="506"/>
      <c r="AE101" s="506"/>
      <c r="AF101" s="506"/>
      <c r="AG101" s="506"/>
      <c r="AH101" s="506"/>
      <c r="AI101" s="506"/>
      <c r="AJ101" s="506"/>
      <c r="AK101" s="509"/>
    </row>
    <row r="102" spans="2:37" ht="16.8" thickBot="1">
      <c r="B102" s="883" t="str">
        <f>Calculations_1!AB3</f>
        <v>Set 2 24h</v>
      </c>
      <c r="C102" s="241" t="str">
        <f>Calculations_1!AA72</f>
        <v>Set 2 24h</v>
      </c>
      <c r="D102" s="338">
        <f>Calculations_1!AG72</f>
        <v>0.203634806630802</v>
      </c>
      <c r="E102" s="909">
        <f>AVERAGE(D102:D104)</f>
        <v>0.20795825419615699</v>
      </c>
      <c r="F102" s="911">
        <f>STDEV(D102:D104)</f>
        <v>1.4103057952578957E-2</v>
      </c>
      <c r="G102" s="328"/>
      <c r="H102" s="339" t="s">
        <v>25</v>
      </c>
      <c r="I102" s="340">
        <f>F96</f>
        <v>8.2968365721510257E-2</v>
      </c>
      <c r="J102" s="341">
        <f>F99</f>
        <v>1.8962507789808226E-2</v>
      </c>
      <c r="K102" s="341">
        <f>F102</f>
        <v>1.4103057952578957E-2</v>
      </c>
      <c r="L102" s="341">
        <f>F105</f>
        <v>3.9527591177183165E-2</v>
      </c>
      <c r="M102" s="341">
        <f>F108</f>
        <v>0.1829460303106627</v>
      </c>
      <c r="N102" s="342">
        <f>F111</f>
        <v>2.5979459872460864E-2</v>
      </c>
      <c r="O102" s="328"/>
      <c r="P102" s="328"/>
      <c r="Q102" s="328"/>
      <c r="R102" s="328"/>
      <c r="S102" s="333"/>
      <c r="U102" s="505"/>
      <c r="V102" s="506"/>
      <c r="W102" s="506"/>
      <c r="X102" s="506"/>
      <c r="Y102" s="506"/>
      <c r="Z102" s="506"/>
      <c r="AA102" s="506"/>
      <c r="AB102" s="506"/>
      <c r="AC102" s="506"/>
      <c r="AD102" s="506"/>
      <c r="AE102" s="506"/>
      <c r="AF102" s="506"/>
      <c r="AG102" s="506"/>
      <c r="AH102" s="506"/>
      <c r="AI102" s="506"/>
      <c r="AJ102" s="506"/>
      <c r="AK102" s="509"/>
    </row>
    <row r="103" spans="2:37">
      <c r="B103" s="884"/>
      <c r="C103" s="251" t="str">
        <f>Calculations_1!AA75</f>
        <v>Set 2 24h</v>
      </c>
      <c r="D103" s="320">
        <f>Calculations_1!AG75</f>
        <v>0.19652302631767085</v>
      </c>
      <c r="E103" s="909"/>
      <c r="F103" s="911"/>
      <c r="G103" s="328"/>
      <c r="H103" s="328"/>
      <c r="I103" s="328"/>
      <c r="J103" s="328"/>
      <c r="K103" s="328"/>
      <c r="L103" s="328"/>
      <c r="M103" s="328"/>
      <c r="N103" s="328"/>
      <c r="O103" s="328"/>
      <c r="P103" s="328"/>
      <c r="Q103" s="328"/>
      <c r="R103" s="328"/>
      <c r="S103" s="333"/>
      <c r="U103" s="505"/>
      <c r="V103" s="506"/>
      <c r="W103" s="506"/>
      <c r="X103" s="506"/>
      <c r="Y103" s="506"/>
      <c r="Z103" s="506"/>
      <c r="AA103" s="506"/>
      <c r="AB103" s="506"/>
      <c r="AC103" s="506"/>
      <c r="AD103" s="506"/>
      <c r="AE103" s="506"/>
      <c r="AF103" s="506"/>
      <c r="AG103" s="506"/>
      <c r="AH103" s="506"/>
      <c r="AI103" s="506"/>
      <c r="AJ103" s="506"/>
      <c r="AK103" s="509"/>
    </row>
    <row r="104" spans="2:37" ht="16.2" thickBot="1">
      <c r="B104" s="885"/>
      <c r="C104" s="130" t="str">
        <f>Calculations_1!AA78</f>
        <v>Set 2 24h</v>
      </c>
      <c r="D104" s="324">
        <f>Calculations_1!AG78</f>
        <v>0.22371692963999809</v>
      </c>
      <c r="E104" s="910"/>
      <c r="F104" s="912"/>
      <c r="G104" s="328"/>
      <c r="H104" s="328"/>
      <c r="I104" s="328"/>
      <c r="J104" s="328"/>
      <c r="K104" s="328"/>
      <c r="L104" s="328"/>
      <c r="M104" s="328"/>
      <c r="N104" s="328"/>
      <c r="O104" s="328"/>
      <c r="P104" s="328"/>
      <c r="Q104" s="328"/>
      <c r="R104" s="328"/>
      <c r="S104" s="333"/>
      <c r="U104" s="505"/>
      <c r="V104" s="506"/>
      <c r="W104" s="506"/>
      <c r="X104" s="506"/>
      <c r="Y104" s="506"/>
      <c r="Z104" s="506"/>
      <c r="AA104" s="506"/>
      <c r="AB104" s="506"/>
      <c r="AC104" s="506"/>
      <c r="AD104" s="506"/>
      <c r="AE104" s="506"/>
      <c r="AF104" s="506"/>
      <c r="AG104" s="506"/>
      <c r="AH104" s="506"/>
      <c r="AI104" s="506"/>
      <c r="AJ104" s="506"/>
      <c r="AK104" s="509"/>
    </row>
    <row r="105" spans="2:37">
      <c r="B105" s="883" t="str">
        <f>Calculations_1!AM3</f>
        <v>Set 4 24h</v>
      </c>
      <c r="C105" s="240" t="str">
        <f>Calculations_1!AL72</f>
        <v>Set 4 24h</v>
      </c>
      <c r="D105" s="338">
        <f>Calculations_1!AR72</f>
        <v>0.15618700662081381</v>
      </c>
      <c r="E105" s="909">
        <f>AVERAGE(D105:D107)</f>
        <v>0.17976850157185656</v>
      </c>
      <c r="F105" s="911">
        <f>STDEV(D105:D107)</f>
        <v>3.9527591177183165E-2</v>
      </c>
      <c r="G105" s="328"/>
      <c r="H105" s="328"/>
      <c r="I105" s="328"/>
      <c r="J105" s="328"/>
      <c r="K105" s="328"/>
      <c r="L105" s="328"/>
      <c r="M105" s="328"/>
      <c r="N105" s="328"/>
      <c r="O105" s="328"/>
      <c r="P105" s="328"/>
      <c r="Q105" s="328"/>
      <c r="R105" s="328"/>
      <c r="S105" s="333"/>
      <c r="U105" s="505"/>
      <c r="V105" s="506"/>
      <c r="W105" s="506"/>
      <c r="X105" s="506"/>
      <c r="Y105" s="506"/>
      <c r="Z105" s="506"/>
      <c r="AA105" s="506"/>
      <c r="AB105" s="506"/>
      <c r="AC105" s="506"/>
      <c r="AD105" s="506"/>
      <c r="AE105" s="506"/>
      <c r="AF105" s="506"/>
      <c r="AG105" s="506"/>
      <c r="AH105" s="506"/>
      <c r="AI105" s="506"/>
      <c r="AJ105" s="506"/>
      <c r="AK105" s="509"/>
    </row>
    <row r="106" spans="2:37">
      <c r="B106" s="884"/>
      <c r="C106" s="251" t="str">
        <f>Calculations_1!AL75</f>
        <v>Set 4 24h</v>
      </c>
      <c r="D106" s="320">
        <f>Calculations_1!AR75</f>
        <v>0.22540249484585298</v>
      </c>
      <c r="E106" s="909"/>
      <c r="F106" s="911"/>
      <c r="G106" s="328"/>
      <c r="H106" s="328"/>
      <c r="I106" s="328"/>
      <c r="J106" s="328"/>
      <c r="K106" s="328"/>
      <c r="L106" s="328"/>
      <c r="M106" s="328"/>
      <c r="N106" s="328"/>
      <c r="O106" s="328"/>
      <c r="P106" s="328"/>
      <c r="Q106" s="328"/>
      <c r="R106" s="328"/>
      <c r="S106" s="333"/>
      <c r="U106" s="507"/>
      <c r="V106" s="508"/>
      <c r="W106" s="508"/>
      <c r="X106" s="508"/>
      <c r="Y106" s="508"/>
      <c r="Z106" s="508"/>
      <c r="AA106" s="508"/>
      <c r="AB106" s="508"/>
      <c r="AC106" s="508"/>
      <c r="AD106" s="508"/>
      <c r="AE106" s="508"/>
      <c r="AF106" s="508"/>
      <c r="AG106" s="508"/>
      <c r="AH106" s="508"/>
      <c r="AI106" s="508"/>
      <c r="AJ106" s="508"/>
      <c r="AK106" s="510"/>
    </row>
    <row r="107" spans="2:37" ht="16.2" thickBot="1">
      <c r="B107" s="885"/>
      <c r="C107" s="130" t="str">
        <f>Calculations_1!AL78</f>
        <v>Set 4 24h</v>
      </c>
      <c r="D107" s="324">
        <f>Calculations_1!AR78</f>
        <v>0.15771600324890289</v>
      </c>
      <c r="E107" s="910"/>
      <c r="F107" s="912"/>
      <c r="G107" s="328"/>
      <c r="H107" s="328"/>
      <c r="I107" s="328"/>
      <c r="J107" s="328"/>
      <c r="K107" s="328"/>
      <c r="L107" s="328"/>
      <c r="M107" s="328"/>
      <c r="N107" s="328"/>
      <c r="O107" s="328"/>
      <c r="P107" s="328"/>
      <c r="Q107" s="328"/>
      <c r="R107" s="328"/>
      <c r="S107" s="333"/>
    </row>
    <row r="108" spans="2:37">
      <c r="B108" s="883" t="str">
        <f>Calculations_1!AX3</f>
        <v>Set 5 24h</v>
      </c>
      <c r="C108" s="240" t="str">
        <f>Calculations_1!AW72</f>
        <v>Set 5 24h</v>
      </c>
      <c r="D108" s="338">
        <f>Calculations_1!BC72</f>
        <v>0.54603343857545172</v>
      </c>
      <c r="E108" s="909">
        <f>AVERAGE(D108:D110)</f>
        <v>0.33544116233186988</v>
      </c>
      <c r="F108" s="911">
        <f>STDEV(D108:D110)</f>
        <v>0.1829460303106627</v>
      </c>
      <c r="G108" s="328"/>
      <c r="H108" s="328"/>
      <c r="I108" s="328"/>
      <c r="J108" s="328"/>
      <c r="K108" s="328"/>
      <c r="L108" s="328"/>
      <c r="M108" s="328"/>
      <c r="N108" s="328"/>
      <c r="O108" s="328"/>
      <c r="P108" s="328"/>
      <c r="Q108" s="328"/>
      <c r="R108" s="328"/>
      <c r="S108" s="333"/>
    </row>
    <row r="109" spans="2:37">
      <c r="B109" s="884"/>
      <c r="C109" s="251" t="str">
        <f>Calculations_1!AW75</f>
        <v>Set 5 24h</v>
      </c>
      <c r="D109" s="320">
        <f>Calculations_1!BC75</f>
        <v>0.21574294462620933</v>
      </c>
      <c r="E109" s="909"/>
      <c r="F109" s="911"/>
      <c r="G109" s="328"/>
      <c r="H109" s="328"/>
      <c r="I109" s="328"/>
      <c r="J109" s="328"/>
      <c r="K109" s="328"/>
      <c r="L109" s="328"/>
      <c r="M109" s="328"/>
      <c r="N109" s="328"/>
      <c r="O109" s="328"/>
      <c r="P109" s="328"/>
      <c r="Q109" s="328"/>
      <c r="R109" s="328"/>
      <c r="S109" s="333"/>
    </row>
    <row r="110" spans="2:37" ht="16.2" thickBot="1">
      <c r="B110" s="885"/>
      <c r="C110" s="130" t="str">
        <f>Calculations_1!AW78</f>
        <v>Set 5 24h</v>
      </c>
      <c r="D110" s="324">
        <f>Calculations_1!BC78</f>
        <v>0.24454710379394859</v>
      </c>
      <c r="E110" s="910"/>
      <c r="F110" s="912"/>
      <c r="G110" s="328"/>
      <c r="H110" s="328"/>
      <c r="I110" s="328"/>
      <c r="J110" s="328"/>
      <c r="K110" s="328"/>
      <c r="L110" s="328"/>
      <c r="M110" s="328"/>
      <c r="N110" s="328"/>
      <c r="O110" s="328"/>
      <c r="P110" s="328"/>
      <c r="Q110" s="328"/>
      <c r="R110" s="328"/>
      <c r="S110" s="333"/>
    </row>
    <row r="111" spans="2:37">
      <c r="B111" s="883" t="str">
        <f>Calculations_1!BI3</f>
        <v>GFP 24h</v>
      </c>
      <c r="C111" s="240" t="str">
        <f>Calculations_1!BH72</f>
        <v>GFP 24h</v>
      </c>
      <c r="D111" s="338">
        <f>Calculations_1!BN72</f>
        <v>1.1544473806070179</v>
      </c>
      <c r="E111" s="909">
        <f>AVERAGE(D111:D113)</f>
        <v>1.1604318150060513</v>
      </c>
      <c r="F111" s="911">
        <f>STDEV(D111:D113)</f>
        <v>2.5979459872460864E-2</v>
      </c>
      <c r="G111" s="328"/>
      <c r="H111" s="328"/>
      <c r="I111" s="328"/>
      <c r="J111" s="328"/>
      <c r="K111" s="328"/>
      <c r="L111" s="328"/>
      <c r="M111" s="328"/>
      <c r="N111" s="328"/>
      <c r="O111" s="328"/>
      <c r="P111" s="328"/>
      <c r="Q111" s="328"/>
      <c r="R111" s="328"/>
      <c r="S111" s="333"/>
    </row>
    <row r="112" spans="2:37">
      <c r="B112" s="884"/>
      <c r="C112" s="251" t="str">
        <f>Calculations_1!BH75</f>
        <v>GFP 24h</v>
      </c>
      <c r="D112" s="320">
        <f>Calculations_1!BN75</f>
        <v>1.1888812952940768</v>
      </c>
      <c r="E112" s="909"/>
      <c r="F112" s="911"/>
      <c r="G112" s="328"/>
      <c r="H112" s="328"/>
      <c r="I112" s="328"/>
      <c r="J112" s="328"/>
      <c r="K112" s="328"/>
      <c r="L112" s="328"/>
      <c r="M112" s="328"/>
      <c r="N112" s="328"/>
      <c r="O112" s="328"/>
      <c r="P112" s="328"/>
      <c r="Q112" s="328"/>
      <c r="R112" s="328"/>
      <c r="S112" s="333"/>
    </row>
    <row r="113" spans="2:19" ht="16.2" thickBot="1">
      <c r="B113" s="885"/>
      <c r="C113" s="127" t="str">
        <f>Calculations_1!BH78</f>
        <v>GFP 24h</v>
      </c>
      <c r="D113" s="324">
        <f>Calculations_1!BN78</f>
        <v>1.1379667691170592</v>
      </c>
      <c r="E113" s="910"/>
      <c r="F113" s="912"/>
      <c r="G113" s="328"/>
      <c r="H113" s="328"/>
      <c r="I113" s="328"/>
      <c r="J113" s="328"/>
      <c r="K113" s="328"/>
      <c r="L113" s="328"/>
      <c r="M113" s="328"/>
      <c r="N113" s="328"/>
      <c r="O113" s="328"/>
      <c r="P113" s="328"/>
      <c r="Q113" s="328"/>
      <c r="R113" s="328"/>
      <c r="S113" s="333"/>
    </row>
    <row r="114" spans="2:19">
      <c r="B114" s="245"/>
      <c r="C114" s="245"/>
      <c r="D114" s="245"/>
      <c r="E114" s="245"/>
      <c r="F114" s="245"/>
      <c r="G114" s="245"/>
      <c r="H114" s="245"/>
      <c r="I114" s="245"/>
      <c r="J114" s="245"/>
      <c r="K114" s="245"/>
      <c r="L114" s="245"/>
      <c r="M114" s="245"/>
      <c r="N114" s="245"/>
      <c r="O114" s="245"/>
      <c r="P114" s="245"/>
      <c r="Q114" s="245"/>
      <c r="R114" s="245"/>
      <c r="S114" s="246"/>
    </row>
    <row r="115" spans="2:19">
      <c r="B115" s="245"/>
      <c r="C115" s="245"/>
      <c r="D115" s="245"/>
      <c r="E115" s="245"/>
      <c r="F115" s="245"/>
      <c r="G115" s="245"/>
      <c r="H115" s="245"/>
      <c r="I115" s="245"/>
      <c r="J115" s="245"/>
      <c r="K115" s="245"/>
      <c r="L115" s="245"/>
      <c r="M115" s="245"/>
      <c r="N115" s="245"/>
      <c r="O115" s="245"/>
      <c r="P115" s="245"/>
      <c r="Q115" s="245"/>
      <c r="R115" s="245"/>
      <c r="S115" s="246"/>
    </row>
    <row r="116" spans="2:19">
      <c r="B116" s="245"/>
      <c r="C116" s="245"/>
      <c r="D116" s="245"/>
      <c r="E116" s="245"/>
      <c r="F116" s="245"/>
      <c r="G116" s="245"/>
      <c r="H116" s="245"/>
      <c r="I116" s="245"/>
      <c r="J116" s="245"/>
      <c r="K116" s="245"/>
      <c r="L116" s="245"/>
      <c r="M116" s="245"/>
      <c r="N116" s="245"/>
      <c r="O116" s="245"/>
      <c r="P116" s="245"/>
      <c r="Q116" s="245"/>
      <c r="R116" s="245"/>
      <c r="S116" s="246"/>
    </row>
    <row r="117" spans="2:19">
      <c r="B117" s="245"/>
      <c r="C117" s="245"/>
      <c r="D117" s="245"/>
      <c r="E117" s="245"/>
      <c r="F117" s="245"/>
      <c r="G117" s="245"/>
      <c r="H117" s="245"/>
      <c r="I117" s="245"/>
      <c r="J117" s="245"/>
      <c r="K117" s="245"/>
      <c r="L117" s="245"/>
      <c r="M117" s="245"/>
      <c r="N117" s="245"/>
      <c r="O117" s="245"/>
      <c r="P117" s="245"/>
      <c r="Q117" s="245"/>
      <c r="R117" s="245"/>
      <c r="S117" s="246"/>
    </row>
    <row r="118" spans="2:19">
      <c r="B118" s="245"/>
      <c r="C118" s="245"/>
      <c r="D118" s="245"/>
      <c r="E118" s="245"/>
      <c r="F118" s="245"/>
      <c r="G118" s="245"/>
      <c r="H118" s="245"/>
      <c r="I118" s="245"/>
      <c r="J118" s="245"/>
      <c r="K118" s="245"/>
      <c r="L118" s="245"/>
      <c r="M118" s="245"/>
      <c r="N118" s="245"/>
      <c r="O118" s="245"/>
      <c r="P118" s="245"/>
      <c r="Q118" s="245"/>
      <c r="R118" s="245"/>
      <c r="S118" s="246"/>
    </row>
    <row r="119" spans="2:19">
      <c r="B119" s="245"/>
      <c r="C119" s="245"/>
      <c r="D119" s="245"/>
      <c r="E119" s="245"/>
      <c r="F119" s="245"/>
      <c r="G119" s="245"/>
      <c r="H119" s="245"/>
      <c r="I119" s="245"/>
      <c r="J119" s="245"/>
      <c r="K119" s="245"/>
      <c r="L119" s="245"/>
      <c r="M119" s="245"/>
      <c r="N119" s="245"/>
      <c r="O119" s="245"/>
      <c r="P119" s="245"/>
      <c r="Q119" s="245"/>
      <c r="R119" s="245"/>
      <c r="S119" s="246"/>
    </row>
    <row r="120" spans="2:19">
      <c r="B120" s="245"/>
      <c r="C120" s="245"/>
      <c r="D120" s="245"/>
      <c r="E120" s="245"/>
      <c r="F120" s="245"/>
      <c r="G120" s="245"/>
      <c r="H120" s="245"/>
      <c r="I120" s="245"/>
      <c r="J120" s="245"/>
      <c r="K120" s="245"/>
      <c r="L120" s="245"/>
      <c r="M120" s="245"/>
      <c r="N120" s="245"/>
      <c r="O120" s="245"/>
      <c r="P120" s="245"/>
      <c r="Q120" s="245"/>
      <c r="R120" s="245"/>
      <c r="S120" s="246"/>
    </row>
    <row r="121" spans="2:19">
      <c r="B121" s="245"/>
      <c r="C121" s="245"/>
      <c r="D121" s="245"/>
      <c r="E121" s="245"/>
      <c r="F121" s="245"/>
      <c r="G121" s="245"/>
      <c r="H121" s="245"/>
      <c r="I121" s="245"/>
      <c r="J121" s="245"/>
      <c r="K121" s="245"/>
      <c r="L121" s="245"/>
      <c r="M121" s="245"/>
      <c r="N121" s="245"/>
      <c r="O121" s="245"/>
      <c r="P121" s="245"/>
      <c r="Q121" s="245"/>
      <c r="R121" s="245"/>
      <c r="S121" s="246"/>
    </row>
    <row r="122" spans="2:19">
      <c r="B122" s="245"/>
      <c r="C122" s="245"/>
      <c r="D122" s="245"/>
      <c r="E122" s="245"/>
      <c r="F122" s="245"/>
      <c r="G122" s="245"/>
      <c r="H122" s="245"/>
      <c r="I122" s="245"/>
      <c r="J122" s="245"/>
      <c r="K122" s="245"/>
      <c r="L122" s="245"/>
      <c r="M122" s="245"/>
      <c r="N122" s="245"/>
      <c r="O122" s="245"/>
      <c r="P122" s="245"/>
      <c r="Q122" s="245"/>
      <c r="R122" s="245"/>
      <c r="S122" s="246"/>
    </row>
    <row r="123" spans="2:19">
      <c r="B123" s="245"/>
      <c r="C123" s="245"/>
      <c r="D123" s="245"/>
      <c r="E123" s="245"/>
      <c r="F123" s="245"/>
      <c r="G123" s="245"/>
      <c r="H123" s="245"/>
      <c r="I123" s="245"/>
      <c r="J123" s="245"/>
      <c r="K123" s="245"/>
      <c r="L123" s="245"/>
      <c r="M123" s="245"/>
      <c r="N123" s="245"/>
      <c r="O123" s="245"/>
      <c r="P123" s="245"/>
      <c r="Q123" s="245"/>
      <c r="R123" s="245"/>
      <c r="S123" s="246"/>
    </row>
    <row r="124" spans="2:19">
      <c r="B124" s="245"/>
      <c r="C124" s="245"/>
      <c r="D124" s="245"/>
      <c r="E124" s="245"/>
      <c r="F124" s="245"/>
      <c r="G124" s="245"/>
      <c r="H124" s="245"/>
      <c r="I124" s="245"/>
      <c r="J124" s="245"/>
      <c r="K124" s="245"/>
      <c r="L124" s="245"/>
      <c r="M124" s="245"/>
      <c r="N124" s="245"/>
      <c r="O124" s="245"/>
      <c r="P124" s="245"/>
      <c r="Q124" s="245"/>
      <c r="R124" s="245"/>
      <c r="S124" s="246"/>
    </row>
    <row r="125" spans="2:19">
      <c r="B125" s="245"/>
      <c r="C125" s="245"/>
      <c r="D125" s="245"/>
      <c r="E125" s="245"/>
      <c r="F125" s="245"/>
      <c r="G125" s="245"/>
      <c r="H125" s="245"/>
      <c r="I125" s="245"/>
      <c r="J125" s="245"/>
      <c r="K125" s="245"/>
      <c r="L125" s="245"/>
      <c r="M125" s="245"/>
      <c r="N125" s="245"/>
      <c r="O125" s="245"/>
      <c r="P125" s="245"/>
      <c r="Q125" s="245"/>
      <c r="R125" s="245"/>
      <c r="S125" s="246"/>
    </row>
    <row r="126" spans="2:19">
      <c r="B126" s="245"/>
      <c r="C126" s="245"/>
      <c r="D126" s="245"/>
      <c r="E126" s="245"/>
      <c r="F126" s="245"/>
      <c r="G126" s="245"/>
      <c r="H126" s="245"/>
      <c r="I126" s="245"/>
      <c r="J126" s="245"/>
      <c r="K126" s="245"/>
      <c r="L126" s="245"/>
      <c r="M126" s="245"/>
      <c r="N126" s="245"/>
      <c r="O126" s="245"/>
      <c r="P126" s="245"/>
      <c r="Q126" s="245"/>
      <c r="R126" s="245"/>
      <c r="S126" s="246"/>
    </row>
    <row r="127" spans="2:19">
      <c r="B127" s="245"/>
      <c r="C127" s="245"/>
      <c r="D127" s="245"/>
      <c r="E127" s="245"/>
      <c r="F127" s="245"/>
      <c r="G127" s="245"/>
      <c r="H127" s="245"/>
      <c r="I127" s="245"/>
      <c r="J127" s="245"/>
      <c r="K127" s="245"/>
      <c r="L127" s="245"/>
      <c r="M127" s="245"/>
      <c r="N127" s="245"/>
      <c r="O127" s="245"/>
      <c r="P127" s="245"/>
      <c r="Q127" s="245"/>
      <c r="R127" s="245"/>
      <c r="S127" s="246"/>
    </row>
    <row r="128" spans="2:19">
      <c r="B128" s="245"/>
      <c r="C128" s="245"/>
      <c r="D128" s="245"/>
      <c r="E128" s="245"/>
      <c r="F128" s="245"/>
      <c r="G128" s="245"/>
      <c r="H128" s="245"/>
      <c r="I128" s="245"/>
      <c r="J128" s="245"/>
      <c r="K128" s="245"/>
      <c r="L128" s="245"/>
      <c r="M128" s="245"/>
      <c r="N128" s="245"/>
      <c r="O128" s="245"/>
      <c r="P128" s="245"/>
      <c r="Q128" s="245"/>
      <c r="R128" s="245"/>
      <c r="S128" s="246"/>
    </row>
    <row r="129" spans="2:19">
      <c r="B129" s="245"/>
      <c r="C129" s="245"/>
      <c r="D129" s="245"/>
      <c r="E129" s="245"/>
      <c r="F129" s="245"/>
      <c r="G129" s="245"/>
      <c r="H129" s="245"/>
      <c r="I129" s="245"/>
      <c r="J129" s="245"/>
      <c r="K129" s="245"/>
      <c r="L129" s="245"/>
      <c r="M129" s="245"/>
      <c r="N129" s="245"/>
      <c r="O129" s="245"/>
      <c r="P129" s="245"/>
      <c r="Q129" s="245"/>
      <c r="R129" s="245"/>
      <c r="S129" s="246"/>
    </row>
    <row r="130" spans="2:19">
      <c r="B130" s="247"/>
      <c r="C130" s="248"/>
      <c r="D130" s="248"/>
      <c r="E130" s="248"/>
      <c r="F130" s="248"/>
      <c r="G130" s="248"/>
      <c r="H130" s="248"/>
      <c r="I130" s="248"/>
      <c r="J130" s="248"/>
      <c r="K130" s="248"/>
      <c r="L130" s="248"/>
      <c r="M130" s="248"/>
      <c r="N130" s="248"/>
      <c r="O130" s="248"/>
      <c r="P130" s="248"/>
      <c r="Q130" s="248"/>
      <c r="R130" s="248"/>
      <c r="S130" s="249"/>
    </row>
    <row r="132" spans="2:19" ht="16.2" thickBot="1"/>
    <row r="133" spans="2:19" ht="16.2" thickBot="1">
      <c r="B133" s="258"/>
      <c r="C133" s="913" t="s">
        <v>14</v>
      </c>
      <c r="D133" s="914"/>
      <c r="E133" s="914"/>
      <c r="F133" s="914"/>
      <c r="G133" s="914"/>
      <c r="H133" s="914"/>
      <c r="I133" s="914"/>
      <c r="J133" s="914"/>
      <c r="K133" s="914"/>
      <c r="L133" s="914"/>
      <c r="M133" s="914"/>
      <c r="N133" s="914"/>
      <c r="O133" s="914"/>
      <c r="P133" s="914"/>
      <c r="Q133" s="914"/>
      <c r="R133" s="914"/>
      <c r="S133" s="915"/>
    </row>
    <row r="134" spans="2:19" ht="16.2" thickBot="1">
      <c r="B134" s="259"/>
      <c r="C134" s="913" t="str">
        <f>Calculations_1!B81</f>
        <v>MDA5</v>
      </c>
      <c r="D134" s="914"/>
      <c r="E134" s="914"/>
      <c r="F134" s="914"/>
      <c r="G134" s="914"/>
      <c r="H134" s="914"/>
      <c r="I134" s="914"/>
      <c r="J134" s="914"/>
      <c r="K134" s="914"/>
      <c r="L134" s="914"/>
      <c r="M134" s="914"/>
      <c r="N134" s="914"/>
      <c r="O134" s="914"/>
      <c r="P134" s="914"/>
      <c r="Q134" s="914"/>
      <c r="R134" s="914"/>
      <c r="S134" s="915"/>
    </row>
    <row r="135" spans="2:19" ht="16.8" thickBot="1">
      <c r="B135" s="260"/>
      <c r="C135" s="5" t="s">
        <v>1</v>
      </c>
      <c r="D135" s="162" t="s">
        <v>8</v>
      </c>
      <c r="E135" s="163" t="s">
        <v>20</v>
      </c>
      <c r="F135" s="164" t="s">
        <v>21</v>
      </c>
      <c r="G135" s="261"/>
      <c r="H135" s="343" t="str">
        <f>(B136) &amp; "x"</f>
        <v>WT 24hx</v>
      </c>
      <c r="I135" s="344" t="str">
        <f>B136</f>
        <v>WT 24h</v>
      </c>
      <c r="J135" s="344" t="str">
        <f>B139 &amp; "x"</f>
        <v>Set 1 24hx</v>
      </c>
      <c r="K135" s="344" t="str">
        <f>B139</f>
        <v>Set 1 24h</v>
      </c>
      <c r="L135" s="344" t="str">
        <f>B142 &amp; "x"</f>
        <v>Set 2 24hx</v>
      </c>
      <c r="M135" s="344" t="str">
        <f>B142</f>
        <v>Set 2 24h</v>
      </c>
      <c r="N135" s="344" t="str">
        <f>B145 &amp; "x"</f>
        <v>Set 4 24hx</v>
      </c>
      <c r="O135" s="344" t="str">
        <f>B145</f>
        <v>Set 4 24h</v>
      </c>
      <c r="P135" s="344" t="str">
        <f>B148 &amp; "x"</f>
        <v>Set 5 24hx</v>
      </c>
      <c r="Q135" s="344" t="str">
        <f>B148</f>
        <v>Set 5 24h</v>
      </c>
      <c r="R135" s="344" t="str">
        <f>B151 &amp; "x"</f>
        <v>GFP 24hx</v>
      </c>
      <c r="S135" s="345" t="str">
        <f>B151</f>
        <v>GFP 24h</v>
      </c>
    </row>
    <row r="136" spans="2:19">
      <c r="B136" s="903" t="str">
        <f>Calculations_1!E3</f>
        <v>WT 24h</v>
      </c>
      <c r="C136" s="252" t="str">
        <f>Calculations_1!D81</f>
        <v>WT 24h</v>
      </c>
      <c r="D136" s="365">
        <f>Calculations_1!K81</f>
        <v>0.95731126495480512</v>
      </c>
      <c r="E136" s="916">
        <f>AVERAGE(D136:D138)</f>
        <v>1.0141265842032856</v>
      </c>
      <c r="F136" s="918">
        <f>STDEV(D136:D138)</f>
        <v>0.21143866708147527</v>
      </c>
      <c r="G136" s="261"/>
      <c r="H136" s="346">
        <v>1.002</v>
      </c>
      <c r="I136" s="347">
        <f>D136</f>
        <v>0.95731126495480512</v>
      </c>
      <c r="J136" s="347">
        <v>2.0019999999999998</v>
      </c>
      <c r="K136" s="347">
        <f>D139</f>
        <v>0.13073718193499692</v>
      </c>
      <c r="L136" s="347">
        <v>3.0019999999999998</v>
      </c>
      <c r="M136" s="347">
        <f>D142</f>
        <v>0.27739609685027516</v>
      </c>
      <c r="N136" s="347">
        <v>4.0019999999999998</v>
      </c>
      <c r="O136" s="347">
        <f>D145</f>
        <v>5.0831043712823501E-2</v>
      </c>
      <c r="P136" s="347">
        <v>5.0019999999999998</v>
      </c>
      <c r="Q136" s="347">
        <f>D148</f>
        <v>0.10646655967893662</v>
      </c>
      <c r="R136" s="347">
        <v>6.0019999999999998</v>
      </c>
      <c r="S136" s="348">
        <f>D151</f>
        <v>2.0542703207127788</v>
      </c>
    </row>
    <row r="137" spans="2:19">
      <c r="B137" s="904"/>
      <c r="C137" s="256" t="str">
        <f>Calculations_1!D84</f>
        <v>WT 24h</v>
      </c>
      <c r="D137" s="366">
        <f>Calculations_1!K84</f>
        <v>1.2481682015320135</v>
      </c>
      <c r="E137" s="916"/>
      <c r="F137" s="918"/>
      <c r="G137" s="261"/>
      <c r="H137" s="349">
        <v>1.002</v>
      </c>
      <c r="I137" s="350">
        <f>D137</f>
        <v>1.2481682015320135</v>
      </c>
      <c r="J137" s="350">
        <v>2.0019999999999998</v>
      </c>
      <c r="K137" s="350">
        <f>D140</f>
        <v>0.12537895240865263</v>
      </c>
      <c r="L137" s="350">
        <v>3.0019999999999998</v>
      </c>
      <c r="M137" s="350">
        <f>D143</f>
        <v>0.33283428878825</v>
      </c>
      <c r="N137" s="350">
        <v>4.0019999999999998</v>
      </c>
      <c r="O137" s="350">
        <f>D146</f>
        <v>2.7780139338319788E-2</v>
      </c>
      <c r="P137" s="350">
        <v>5.0019999999999998</v>
      </c>
      <c r="Q137" s="350">
        <f>D149</f>
        <v>2.6901889522691499E-2</v>
      </c>
      <c r="R137" s="350">
        <v>6.0019999999999998</v>
      </c>
      <c r="S137" s="351">
        <f>D152</f>
        <v>2.0530443855219693</v>
      </c>
    </row>
    <row r="138" spans="2:19" ht="16.2" thickBot="1">
      <c r="B138" s="905"/>
      <c r="C138" s="253" t="str">
        <f>Calculations_1!D87</f>
        <v>WT 24h</v>
      </c>
      <c r="D138" s="367">
        <f>Calculations_1!K87</f>
        <v>0.83690028612303802</v>
      </c>
      <c r="E138" s="917"/>
      <c r="F138" s="919"/>
      <c r="G138" s="261"/>
      <c r="H138" s="672">
        <v>1.002</v>
      </c>
      <c r="I138" s="352">
        <f>D138</f>
        <v>0.83690028612303802</v>
      </c>
      <c r="J138" s="352">
        <v>2.0019999999999998</v>
      </c>
      <c r="K138" s="352">
        <f>D141</f>
        <v>5.9698232560464519E-2</v>
      </c>
      <c r="L138" s="352">
        <v>3.0019999999999998</v>
      </c>
      <c r="M138" s="352">
        <f>D144</f>
        <v>0.25252212251741291</v>
      </c>
      <c r="N138" s="352">
        <v>4.0019999999999998</v>
      </c>
      <c r="O138" s="352">
        <f>D147</f>
        <v>3.2949011439087919E-2</v>
      </c>
      <c r="P138" s="352">
        <v>5.0019999999999998</v>
      </c>
      <c r="Q138" s="352">
        <f>D150</f>
        <v>2.6780611311067268E-2</v>
      </c>
      <c r="R138" s="352">
        <v>6.0019999999999998</v>
      </c>
      <c r="S138" s="353">
        <f>D153</f>
        <v>2.1999258501230425</v>
      </c>
    </row>
    <row r="139" spans="2:19" ht="16.2" thickBot="1">
      <c r="B139" s="883" t="str">
        <f>Calculations_1!Q3</f>
        <v>Set 1 24h</v>
      </c>
      <c r="C139" s="254" t="str">
        <f>Calculations_1!P81</f>
        <v>Set 1 24h</v>
      </c>
      <c r="D139" s="368">
        <f>Calculations_1!V81</f>
        <v>0.13073718193499692</v>
      </c>
      <c r="E139" s="916">
        <f>AVERAGE(D139:D141)</f>
        <v>0.10527145563470469</v>
      </c>
      <c r="F139" s="918">
        <f>STDEV(D139:D141)</f>
        <v>3.9558395467272002E-2</v>
      </c>
      <c r="G139" s="262"/>
      <c r="H139" s="262"/>
      <c r="I139" s="262"/>
      <c r="J139" s="262"/>
      <c r="K139" s="262"/>
      <c r="L139" s="262"/>
      <c r="M139" s="262"/>
      <c r="N139" s="262"/>
      <c r="O139" s="262"/>
      <c r="P139" s="262"/>
      <c r="Q139" s="262"/>
      <c r="R139" s="262"/>
      <c r="S139" s="264"/>
    </row>
    <row r="140" spans="2:19" ht="16.2" thickBot="1">
      <c r="B140" s="884"/>
      <c r="C140" s="257" t="str">
        <f>Calculations_1!P84</f>
        <v>Set 1 24h</v>
      </c>
      <c r="D140" s="366">
        <f>Calculations_1!V84</f>
        <v>0.12537895240865263</v>
      </c>
      <c r="E140" s="916"/>
      <c r="F140" s="918"/>
      <c r="G140" s="262"/>
      <c r="H140" s="175"/>
      <c r="I140" s="354" t="str">
        <f>B136</f>
        <v>WT 24h</v>
      </c>
      <c r="J140" s="355" t="str">
        <f>B139</f>
        <v>Set 1 24h</v>
      </c>
      <c r="K140" s="355" t="str">
        <f>B142</f>
        <v>Set 2 24h</v>
      </c>
      <c r="L140" s="355" t="str">
        <f>B145</f>
        <v>Set 4 24h</v>
      </c>
      <c r="M140" s="355" t="str">
        <f>B148</f>
        <v>Set 5 24h</v>
      </c>
      <c r="N140" s="356" t="str">
        <f>B151</f>
        <v>GFP 24h</v>
      </c>
      <c r="O140" s="262"/>
      <c r="P140" s="262"/>
      <c r="Q140" s="262"/>
      <c r="R140" s="262"/>
      <c r="S140" s="264"/>
    </row>
    <row r="141" spans="2:19" ht="16.8" thickBot="1">
      <c r="B141" s="885"/>
      <c r="C141" s="128" t="str">
        <f>Calculations_1!P87</f>
        <v>Set 1 24h</v>
      </c>
      <c r="D141" s="367">
        <f>Calculations_1!V87</f>
        <v>5.9698232560464519E-2</v>
      </c>
      <c r="E141" s="917"/>
      <c r="F141" s="919"/>
      <c r="G141" s="262"/>
      <c r="H141" s="357" t="s">
        <v>24</v>
      </c>
      <c r="I141" s="358">
        <f>E136</f>
        <v>1.0141265842032856</v>
      </c>
      <c r="J141" s="359">
        <f>E139</f>
        <v>0.10527145563470469</v>
      </c>
      <c r="K141" s="359">
        <f>E142</f>
        <v>0.28758416938531267</v>
      </c>
      <c r="L141" s="359">
        <f>E145</f>
        <v>3.7186731496743737E-2</v>
      </c>
      <c r="M141" s="359">
        <f>E148</f>
        <v>5.3383020170898458E-2</v>
      </c>
      <c r="N141" s="360">
        <f>E151</f>
        <v>2.1024135187859301</v>
      </c>
      <c r="O141" s="262"/>
      <c r="P141" s="262"/>
      <c r="Q141" s="262"/>
      <c r="R141" s="262"/>
      <c r="S141" s="264"/>
    </row>
    <row r="142" spans="2:19" ht="16.8" thickBot="1">
      <c r="B142" s="883" t="str">
        <f>Calculations_1!AB3</f>
        <v>Set 2 24h</v>
      </c>
      <c r="C142" s="255" t="str">
        <f>Calculations_1!AA81</f>
        <v>Set 2 24h</v>
      </c>
      <c r="D142" s="369">
        <f>Calculations_1!AG81</f>
        <v>0.27739609685027516</v>
      </c>
      <c r="E142" s="916">
        <f>AVERAGE(D142:D144)</f>
        <v>0.28758416938531267</v>
      </c>
      <c r="F142" s="918">
        <f>STDEV(D142:D144)</f>
        <v>4.1113971217373708E-2</v>
      </c>
      <c r="G142" s="262"/>
      <c r="H142" s="361" t="s">
        <v>25</v>
      </c>
      <c r="I142" s="362">
        <f>F136</f>
        <v>0.21143866708147527</v>
      </c>
      <c r="J142" s="363">
        <f>F139</f>
        <v>3.9558395467272002E-2</v>
      </c>
      <c r="K142" s="363">
        <f>F142</f>
        <v>4.1113971217373708E-2</v>
      </c>
      <c r="L142" s="363">
        <f>F145</f>
        <v>1.2095650110098371E-2</v>
      </c>
      <c r="M142" s="363">
        <f>F148</f>
        <v>4.5971733729839245E-2</v>
      </c>
      <c r="N142" s="364">
        <f>F151</f>
        <v>8.4450380705903855E-2</v>
      </c>
      <c r="O142" s="262"/>
      <c r="P142" s="262"/>
      <c r="Q142" s="262"/>
      <c r="R142" s="262"/>
      <c r="S142" s="264"/>
    </row>
    <row r="143" spans="2:19">
      <c r="B143" s="884"/>
      <c r="C143" s="257" t="str">
        <f>Calculations_1!AA84</f>
        <v>Set 2 24h</v>
      </c>
      <c r="D143" s="366">
        <f>Calculations_1!AG84</f>
        <v>0.33283428878825</v>
      </c>
      <c r="E143" s="916"/>
      <c r="F143" s="918"/>
      <c r="G143" s="262"/>
      <c r="H143" s="262"/>
      <c r="I143" s="262"/>
      <c r="J143" s="262"/>
      <c r="K143" s="262"/>
      <c r="L143" s="262"/>
      <c r="M143" s="262"/>
      <c r="N143" s="262"/>
      <c r="O143" s="262"/>
      <c r="P143" s="262"/>
      <c r="Q143" s="262"/>
      <c r="R143" s="262"/>
      <c r="S143" s="264"/>
    </row>
    <row r="144" spans="2:19" ht="16.2" thickBot="1">
      <c r="B144" s="885"/>
      <c r="C144" s="252" t="str">
        <f>Calculations_1!AA87</f>
        <v>Set 2 24h</v>
      </c>
      <c r="D144" s="367">
        <f>Calculations_1!AG87</f>
        <v>0.25252212251741291</v>
      </c>
      <c r="E144" s="917"/>
      <c r="F144" s="919"/>
      <c r="G144" s="262"/>
      <c r="H144" s="262"/>
      <c r="I144" s="262"/>
      <c r="J144" s="262"/>
      <c r="K144" s="262"/>
      <c r="L144" s="262"/>
      <c r="M144" s="262"/>
      <c r="N144" s="262"/>
      <c r="O144" s="262"/>
      <c r="P144" s="262"/>
      <c r="Q144" s="262"/>
      <c r="R144" s="262"/>
      <c r="S144" s="264"/>
    </row>
    <row r="145" spans="2:19">
      <c r="B145" s="883" t="str">
        <f>Calculations_1!AM3</f>
        <v>Set 4 24h</v>
      </c>
      <c r="C145" s="254" t="str">
        <f>Calculations_1!AL81</f>
        <v>Set 4 24h</v>
      </c>
      <c r="D145" s="369">
        <f>Calculations_1!AR81</f>
        <v>5.0831043712823501E-2</v>
      </c>
      <c r="E145" s="916">
        <f>AVERAGE(D145:D147)</f>
        <v>3.7186731496743737E-2</v>
      </c>
      <c r="F145" s="918">
        <f>STDEV(D145:D147)</f>
        <v>1.2095650110098371E-2</v>
      </c>
      <c r="G145" s="262"/>
      <c r="H145" s="262"/>
      <c r="I145" s="262"/>
      <c r="J145" s="262"/>
      <c r="K145" s="262"/>
      <c r="L145" s="262"/>
      <c r="M145" s="262"/>
      <c r="N145" s="262"/>
      <c r="O145" s="262"/>
      <c r="P145" s="262"/>
      <c r="Q145" s="262"/>
      <c r="R145" s="262"/>
      <c r="S145" s="264"/>
    </row>
    <row r="146" spans="2:19">
      <c r="B146" s="884"/>
      <c r="C146" s="257" t="str">
        <f>Calculations_1!AL84</f>
        <v>Set 4 24h</v>
      </c>
      <c r="D146" s="366">
        <f>Calculations_1!AR84</f>
        <v>2.7780139338319788E-2</v>
      </c>
      <c r="E146" s="916"/>
      <c r="F146" s="918"/>
      <c r="G146" s="262"/>
      <c r="H146" s="262"/>
      <c r="I146" s="262"/>
      <c r="J146" s="262"/>
      <c r="K146" s="262"/>
      <c r="L146" s="262"/>
      <c r="M146" s="262"/>
      <c r="N146" s="262"/>
      <c r="O146" s="262"/>
      <c r="P146" s="262"/>
      <c r="Q146" s="262"/>
      <c r="R146" s="262"/>
      <c r="S146" s="264"/>
    </row>
    <row r="147" spans="2:19" ht="16.2" thickBot="1">
      <c r="B147" s="885"/>
      <c r="C147" s="252" t="str">
        <f>Calculations_1!AL87</f>
        <v>Set 4 24h</v>
      </c>
      <c r="D147" s="367">
        <f>Calculations_1!AR87</f>
        <v>3.2949011439087919E-2</v>
      </c>
      <c r="E147" s="917"/>
      <c r="F147" s="919"/>
      <c r="G147" s="262"/>
      <c r="H147" s="262"/>
      <c r="I147" s="262"/>
      <c r="J147" s="262"/>
      <c r="K147" s="262"/>
      <c r="L147" s="262"/>
      <c r="M147" s="262"/>
      <c r="N147" s="262"/>
      <c r="O147" s="262"/>
      <c r="P147" s="262"/>
      <c r="Q147" s="262"/>
      <c r="R147" s="262"/>
      <c r="S147" s="264"/>
    </row>
    <row r="148" spans="2:19">
      <c r="B148" s="883" t="str">
        <f>Calculations_1!AX3</f>
        <v>Set 5 24h</v>
      </c>
      <c r="C148" s="254" t="str">
        <f>Calculations_1!AW81</f>
        <v>Set 5 24h</v>
      </c>
      <c r="D148" s="369">
        <f>Calculations_1!BC81</f>
        <v>0.10646655967893662</v>
      </c>
      <c r="E148" s="916">
        <f>AVERAGE(D148:D150)</f>
        <v>5.3383020170898458E-2</v>
      </c>
      <c r="F148" s="918">
        <f>STDEV(D148:D150)</f>
        <v>4.5971733729839245E-2</v>
      </c>
      <c r="G148" s="262"/>
      <c r="H148" s="262"/>
      <c r="I148" s="262"/>
      <c r="J148" s="262"/>
      <c r="K148" s="262"/>
      <c r="L148" s="262"/>
      <c r="M148" s="262"/>
      <c r="N148" s="262"/>
      <c r="O148" s="262"/>
      <c r="P148" s="262"/>
      <c r="Q148" s="262"/>
      <c r="R148" s="262"/>
      <c r="S148" s="264"/>
    </row>
    <row r="149" spans="2:19">
      <c r="B149" s="884"/>
      <c r="C149" s="257" t="str">
        <f>Calculations_1!AW84</f>
        <v>Set 5 24h</v>
      </c>
      <c r="D149" s="366">
        <f>Calculations_1!BC84</f>
        <v>2.6901889522691499E-2</v>
      </c>
      <c r="E149" s="916"/>
      <c r="F149" s="918"/>
      <c r="G149" s="262"/>
      <c r="H149" s="262"/>
      <c r="I149" s="262"/>
      <c r="J149" s="262"/>
      <c r="K149" s="262"/>
      <c r="L149" s="262"/>
      <c r="M149" s="262"/>
      <c r="N149" s="262"/>
      <c r="O149" s="262"/>
      <c r="P149" s="262"/>
      <c r="Q149" s="262"/>
      <c r="R149" s="262"/>
      <c r="S149" s="264"/>
    </row>
    <row r="150" spans="2:19" ht="16.2" thickBot="1">
      <c r="B150" s="885"/>
      <c r="C150" s="252" t="str">
        <f>Calculations_1!AW87</f>
        <v>Set 5 24h</v>
      </c>
      <c r="D150" s="367">
        <f>Calculations_1!BC87</f>
        <v>2.6780611311067268E-2</v>
      </c>
      <c r="E150" s="917"/>
      <c r="F150" s="919"/>
      <c r="G150" s="262"/>
      <c r="H150" s="262"/>
      <c r="I150" s="262"/>
      <c r="J150" s="262"/>
      <c r="K150" s="262"/>
      <c r="L150" s="262"/>
      <c r="M150" s="262"/>
      <c r="N150" s="262"/>
      <c r="O150" s="262"/>
      <c r="P150" s="262"/>
      <c r="Q150" s="262"/>
      <c r="R150" s="262"/>
      <c r="S150" s="264"/>
    </row>
    <row r="151" spans="2:19">
      <c r="B151" s="883" t="str">
        <f>Calculations_1!BI3</f>
        <v>GFP 24h</v>
      </c>
      <c r="C151" s="254" t="str">
        <f>Calculations_1!BH81</f>
        <v>GFP 24h</v>
      </c>
      <c r="D151" s="369">
        <f>Calculations_1!BN81</f>
        <v>2.0542703207127788</v>
      </c>
      <c r="E151" s="916">
        <f>AVERAGE(D151:D153)</f>
        <v>2.1024135187859301</v>
      </c>
      <c r="F151" s="918">
        <f>STDEV(D151:D153)</f>
        <v>8.4450380705903855E-2</v>
      </c>
      <c r="G151" s="262"/>
      <c r="H151" s="262"/>
      <c r="I151" s="262"/>
      <c r="J151" s="262"/>
      <c r="K151" s="262"/>
      <c r="L151" s="262"/>
      <c r="M151" s="262"/>
      <c r="N151" s="262"/>
      <c r="O151" s="262"/>
      <c r="P151" s="262"/>
      <c r="Q151" s="262"/>
      <c r="R151" s="262"/>
      <c r="S151" s="264"/>
    </row>
    <row r="152" spans="2:19">
      <c r="B152" s="884"/>
      <c r="C152" s="257" t="str">
        <f>Calculations_1!BH84</f>
        <v>GFP 24h</v>
      </c>
      <c r="D152" s="366">
        <f>Calculations_1!BN84</f>
        <v>2.0530443855219693</v>
      </c>
      <c r="E152" s="916"/>
      <c r="F152" s="918"/>
      <c r="G152" s="262"/>
      <c r="H152" s="262"/>
      <c r="I152" s="262"/>
      <c r="J152" s="262"/>
      <c r="K152" s="262"/>
      <c r="L152" s="262"/>
      <c r="M152" s="262"/>
      <c r="N152" s="262"/>
      <c r="O152" s="262"/>
      <c r="P152" s="262"/>
      <c r="Q152" s="262"/>
      <c r="R152" s="262"/>
      <c r="S152" s="264"/>
    </row>
    <row r="153" spans="2:19" ht="16.2" thickBot="1">
      <c r="B153" s="885"/>
      <c r="C153" s="128" t="str">
        <f>Calculations_1!BH87</f>
        <v>GFP 24h</v>
      </c>
      <c r="D153" s="367">
        <f>Calculations_1!BN87</f>
        <v>2.1999258501230425</v>
      </c>
      <c r="E153" s="917"/>
      <c r="F153" s="919"/>
      <c r="G153" s="262"/>
      <c r="H153" s="262"/>
      <c r="I153" s="262"/>
      <c r="J153" s="262"/>
      <c r="K153" s="262"/>
      <c r="L153" s="262"/>
      <c r="M153" s="262"/>
      <c r="N153" s="262"/>
      <c r="O153" s="262"/>
      <c r="P153" s="262"/>
      <c r="Q153" s="262"/>
      <c r="R153" s="262"/>
      <c r="S153" s="264"/>
    </row>
    <row r="154" spans="2:19">
      <c r="B154" s="262"/>
      <c r="C154" s="262"/>
      <c r="D154" s="262"/>
      <c r="E154" s="262"/>
      <c r="F154" s="262"/>
      <c r="G154" s="262"/>
      <c r="H154" s="262"/>
      <c r="I154" s="262"/>
      <c r="J154" s="262"/>
      <c r="K154" s="262"/>
      <c r="L154" s="262"/>
      <c r="M154" s="262"/>
      <c r="N154" s="262"/>
      <c r="O154" s="262"/>
      <c r="P154" s="262"/>
      <c r="Q154" s="262"/>
      <c r="R154" s="262"/>
      <c r="S154" s="264"/>
    </row>
    <row r="155" spans="2:19">
      <c r="B155" s="262"/>
      <c r="C155" s="262"/>
      <c r="D155" s="262"/>
      <c r="E155" s="262"/>
      <c r="F155" s="262"/>
      <c r="G155" s="262"/>
      <c r="H155" s="262"/>
      <c r="I155" s="262"/>
      <c r="J155" s="262"/>
      <c r="K155" s="262"/>
      <c r="L155" s="262"/>
      <c r="M155" s="262"/>
      <c r="N155" s="262"/>
      <c r="O155" s="262"/>
      <c r="P155" s="262"/>
      <c r="Q155" s="262"/>
      <c r="R155" s="262"/>
      <c r="S155" s="264"/>
    </row>
    <row r="156" spans="2:19">
      <c r="B156" s="262"/>
      <c r="C156" s="262"/>
      <c r="D156" s="262"/>
      <c r="E156" s="262"/>
      <c r="F156" s="262"/>
      <c r="G156" s="262"/>
      <c r="H156" s="262"/>
      <c r="I156" s="262"/>
      <c r="J156" s="262"/>
      <c r="K156" s="262"/>
      <c r="L156" s="262"/>
      <c r="M156" s="262"/>
      <c r="N156" s="262"/>
      <c r="O156" s="262"/>
      <c r="P156" s="262"/>
      <c r="Q156" s="262"/>
      <c r="R156" s="262"/>
      <c r="S156" s="264"/>
    </row>
    <row r="157" spans="2:19">
      <c r="B157" s="262"/>
      <c r="C157" s="262"/>
      <c r="D157" s="262"/>
      <c r="E157" s="262"/>
      <c r="F157" s="262"/>
      <c r="G157" s="262"/>
      <c r="H157" s="262"/>
      <c r="I157" s="262"/>
      <c r="J157" s="262"/>
      <c r="K157" s="262"/>
      <c r="L157" s="262"/>
      <c r="M157" s="262"/>
      <c r="N157" s="262"/>
      <c r="O157" s="262"/>
      <c r="P157" s="262"/>
      <c r="Q157" s="262"/>
      <c r="R157" s="262"/>
      <c r="S157" s="264"/>
    </row>
    <row r="158" spans="2:19">
      <c r="B158" s="262"/>
      <c r="C158" s="262"/>
      <c r="D158" s="262"/>
      <c r="E158" s="262"/>
      <c r="F158" s="262"/>
      <c r="G158" s="262"/>
      <c r="H158" s="262"/>
      <c r="I158" s="262"/>
      <c r="J158" s="262"/>
      <c r="K158" s="262"/>
      <c r="L158" s="262"/>
      <c r="M158" s="262"/>
      <c r="N158" s="262"/>
      <c r="O158" s="262"/>
      <c r="P158" s="262"/>
      <c r="Q158" s="262"/>
      <c r="R158" s="262"/>
      <c r="S158" s="264"/>
    </row>
    <row r="159" spans="2:19">
      <c r="B159" s="262"/>
      <c r="C159" s="262"/>
      <c r="D159" s="262"/>
      <c r="E159" s="262"/>
      <c r="F159" s="262"/>
      <c r="G159" s="262"/>
      <c r="H159" s="262"/>
      <c r="I159" s="262"/>
      <c r="J159" s="262"/>
      <c r="K159" s="262"/>
      <c r="L159" s="262"/>
      <c r="M159" s="262"/>
      <c r="N159" s="262"/>
      <c r="O159" s="262"/>
      <c r="P159" s="262"/>
      <c r="Q159" s="262"/>
      <c r="R159" s="262"/>
      <c r="S159" s="264"/>
    </row>
    <row r="160" spans="2:19">
      <c r="B160" s="262"/>
      <c r="C160" s="262"/>
      <c r="D160" s="262"/>
      <c r="E160" s="262"/>
      <c r="F160" s="262"/>
      <c r="G160" s="262"/>
      <c r="H160" s="262"/>
      <c r="I160" s="262"/>
      <c r="J160" s="262"/>
      <c r="K160" s="262"/>
      <c r="L160" s="262"/>
      <c r="M160" s="262"/>
      <c r="N160" s="262"/>
      <c r="O160" s="262"/>
      <c r="P160" s="262"/>
      <c r="Q160" s="262"/>
      <c r="R160" s="262"/>
      <c r="S160" s="264"/>
    </row>
    <row r="161" spans="2:19">
      <c r="B161" s="262"/>
      <c r="C161" s="262"/>
      <c r="D161" s="262"/>
      <c r="E161" s="262"/>
      <c r="F161" s="262"/>
      <c r="G161" s="262"/>
      <c r="H161" s="262"/>
      <c r="I161" s="262"/>
      <c r="J161" s="262"/>
      <c r="K161" s="262"/>
      <c r="L161" s="262"/>
      <c r="M161" s="262"/>
      <c r="N161" s="262"/>
      <c r="O161" s="262"/>
      <c r="P161" s="262"/>
      <c r="Q161" s="262"/>
      <c r="R161" s="262"/>
      <c r="S161" s="264"/>
    </row>
    <row r="162" spans="2:19">
      <c r="B162" s="262"/>
      <c r="C162" s="262"/>
      <c r="D162" s="262"/>
      <c r="E162" s="262"/>
      <c r="F162" s="262"/>
      <c r="G162" s="262"/>
      <c r="H162" s="262"/>
      <c r="I162" s="262"/>
      <c r="J162" s="262"/>
      <c r="K162" s="262"/>
      <c r="L162" s="262"/>
      <c r="M162" s="262"/>
      <c r="N162" s="262"/>
      <c r="O162" s="262"/>
      <c r="P162" s="262"/>
      <c r="Q162" s="262"/>
      <c r="R162" s="262"/>
      <c r="S162" s="264"/>
    </row>
    <row r="163" spans="2:19">
      <c r="B163" s="262"/>
      <c r="C163" s="262"/>
      <c r="D163" s="262"/>
      <c r="E163" s="262"/>
      <c r="F163" s="262"/>
      <c r="G163" s="262"/>
      <c r="H163" s="262"/>
      <c r="I163" s="262"/>
      <c r="J163" s="262"/>
      <c r="K163" s="262"/>
      <c r="L163" s="262"/>
      <c r="M163" s="262"/>
      <c r="N163" s="262"/>
      <c r="O163" s="262"/>
      <c r="P163" s="262"/>
      <c r="Q163" s="262"/>
      <c r="R163" s="262"/>
      <c r="S163" s="264"/>
    </row>
    <row r="164" spans="2:19">
      <c r="B164" s="262"/>
      <c r="C164" s="262"/>
      <c r="D164" s="262"/>
      <c r="E164" s="262"/>
      <c r="F164" s="262"/>
      <c r="G164" s="262"/>
      <c r="H164" s="262"/>
      <c r="I164" s="262"/>
      <c r="J164" s="262"/>
      <c r="K164" s="262"/>
      <c r="L164" s="262"/>
      <c r="M164" s="262"/>
      <c r="N164" s="262"/>
      <c r="O164" s="262"/>
      <c r="P164" s="262"/>
      <c r="Q164" s="262"/>
      <c r="R164" s="262"/>
      <c r="S164" s="264"/>
    </row>
    <row r="165" spans="2:19">
      <c r="B165" s="262"/>
      <c r="C165" s="262"/>
      <c r="D165" s="262"/>
      <c r="E165" s="262"/>
      <c r="F165" s="262"/>
      <c r="G165" s="262"/>
      <c r="H165" s="262"/>
      <c r="I165" s="262"/>
      <c r="J165" s="262"/>
      <c r="K165" s="262"/>
      <c r="L165" s="262"/>
      <c r="M165" s="262"/>
      <c r="N165" s="262"/>
      <c r="O165" s="262"/>
      <c r="P165" s="262"/>
      <c r="Q165" s="262"/>
      <c r="R165" s="262"/>
      <c r="S165" s="264"/>
    </row>
    <row r="166" spans="2:19">
      <c r="B166" s="262"/>
      <c r="C166" s="262"/>
      <c r="D166" s="262"/>
      <c r="E166" s="262"/>
      <c r="F166" s="262"/>
      <c r="G166" s="262"/>
      <c r="H166" s="262"/>
      <c r="I166" s="262"/>
      <c r="J166" s="262"/>
      <c r="K166" s="262"/>
      <c r="L166" s="262"/>
      <c r="M166" s="262"/>
      <c r="N166" s="262"/>
      <c r="O166" s="262"/>
      <c r="P166" s="262"/>
      <c r="Q166" s="262"/>
      <c r="R166" s="262"/>
      <c r="S166" s="264"/>
    </row>
    <row r="167" spans="2:19">
      <c r="B167" s="262"/>
      <c r="C167" s="262"/>
      <c r="D167" s="262"/>
      <c r="E167" s="262"/>
      <c r="F167" s="262"/>
      <c r="G167" s="262"/>
      <c r="H167" s="262"/>
      <c r="I167" s="262"/>
      <c r="J167" s="262"/>
      <c r="K167" s="262"/>
      <c r="L167" s="262"/>
      <c r="M167" s="262"/>
      <c r="N167" s="262"/>
      <c r="O167" s="262"/>
      <c r="P167" s="262"/>
      <c r="Q167" s="262"/>
      <c r="R167" s="262"/>
      <c r="S167" s="264"/>
    </row>
    <row r="168" spans="2:19">
      <c r="B168" s="262"/>
      <c r="C168" s="262"/>
      <c r="D168" s="262"/>
      <c r="E168" s="262"/>
      <c r="F168" s="262"/>
      <c r="G168" s="262"/>
      <c r="H168" s="262"/>
      <c r="I168" s="262"/>
      <c r="J168" s="262"/>
      <c r="K168" s="262"/>
      <c r="L168" s="262"/>
      <c r="M168" s="262"/>
      <c r="N168" s="262"/>
      <c r="O168" s="262"/>
      <c r="P168" s="262"/>
      <c r="Q168" s="262"/>
      <c r="R168" s="262"/>
      <c r="S168" s="264"/>
    </row>
    <row r="169" spans="2:19">
      <c r="B169" s="262"/>
      <c r="C169" s="262"/>
      <c r="D169" s="262"/>
      <c r="E169" s="262"/>
      <c r="F169" s="262"/>
      <c r="G169" s="262"/>
      <c r="H169" s="262"/>
      <c r="I169" s="262"/>
      <c r="J169" s="262"/>
      <c r="K169" s="262"/>
      <c r="L169" s="262"/>
      <c r="M169" s="262"/>
      <c r="N169" s="262"/>
      <c r="O169" s="262"/>
      <c r="P169" s="262"/>
      <c r="Q169" s="262"/>
      <c r="R169" s="262"/>
      <c r="S169" s="264"/>
    </row>
    <row r="170" spans="2:19">
      <c r="B170" s="265"/>
      <c r="C170" s="263"/>
      <c r="D170" s="263"/>
      <c r="E170" s="263"/>
      <c r="F170" s="263"/>
      <c r="G170" s="263"/>
      <c r="H170" s="263"/>
      <c r="I170" s="263"/>
      <c r="J170" s="263"/>
      <c r="K170" s="263"/>
      <c r="L170" s="263"/>
      <c r="M170" s="263"/>
      <c r="N170" s="263"/>
      <c r="O170" s="263"/>
      <c r="P170" s="263"/>
      <c r="Q170" s="263"/>
      <c r="R170" s="263"/>
      <c r="S170" s="266"/>
    </row>
    <row r="172" spans="2:19" ht="16.2" thickBot="1"/>
    <row r="173" spans="2:19" ht="16.2" thickBot="1">
      <c r="B173" s="272"/>
      <c r="C173" s="930" t="s">
        <v>15</v>
      </c>
      <c r="D173" s="931"/>
      <c r="E173" s="931"/>
      <c r="F173" s="931"/>
      <c r="G173" s="931"/>
      <c r="H173" s="931"/>
      <c r="I173" s="931"/>
      <c r="J173" s="931"/>
      <c r="K173" s="931"/>
      <c r="L173" s="931"/>
      <c r="M173" s="931"/>
      <c r="N173" s="931"/>
      <c r="O173" s="931"/>
      <c r="P173" s="931"/>
      <c r="Q173" s="931"/>
      <c r="R173" s="931"/>
      <c r="S173" s="932"/>
    </row>
    <row r="174" spans="2:19" ht="16.2" thickBot="1">
      <c r="B174" s="273"/>
      <c r="C174" s="930" t="str">
        <f>Calculations_1!B90</f>
        <v>IFIT</v>
      </c>
      <c r="D174" s="931"/>
      <c r="E174" s="931"/>
      <c r="F174" s="931"/>
      <c r="G174" s="931"/>
      <c r="H174" s="931"/>
      <c r="I174" s="931"/>
      <c r="J174" s="931"/>
      <c r="K174" s="931"/>
      <c r="L174" s="931"/>
      <c r="M174" s="931"/>
      <c r="N174" s="931"/>
      <c r="O174" s="931"/>
      <c r="P174" s="931"/>
      <c r="Q174" s="931"/>
      <c r="R174" s="931"/>
      <c r="S174" s="932"/>
    </row>
    <row r="175" spans="2:19" ht="16.8" thickBot="1">
      <c r="B175" s="274"/>
      <c r="C175" s="5" t="s">
        <v>1</v>
      </c>
      <c r="D175" s="162" t="s">
        <v>8</v>
      </c>
      <c r="E175" s="163" t="s">
        <v>20</v>
      </c>
      <c r="F175" s="164" t="s">
        <v>21</v>
      </c>
      <c r="G175" s="275"/>
      <c r="H175" s="287" t="str">
        <f>(B176) &amp; "x"</f>
        <v>WT 24hx</v>
      </c>
      <c r="I175" s="288" t="str">
        <f>B176</f>
        <v>WT 24h</v>
      </c>
      <c r="J175" s="288" t="str">
        <f>B179 &amp; "x"</f>
        <v>Set 1 24hx</v>
      </c>
      <c r="K175" s="288" t="str">
        <f>B179</f>
        <v>Set 1 24h</v>
      </c>
      <c r="L175" s="288" t="str">
        <f>B182 &amp; "x"</f>
        <v>Set 2 24hx</v>
      </c>
      <c r="M175" s="288" t="str">
        <f>B182</f>
        <v>Set 2 24h</v>
      </c>
      <c r="N175" s="288" t="str">
        <f>B185 &amp; "x"</f>
        <v>Set 4 24hx</v>
      </c>
      <c r="O175" s="288" t="str">
        <f>B185</f>
        <v>Set 4 24h</v>
      </c>
      <c r="P175" s="288" t="str">
        <f>B188 &amp; "x"</f>
        <v>Set 5 24hx</v>
      </c>
      <c r="Q175" s="288" t="str">
        <f>B188</f>
        <v>Set 5 24h</v>
      </c>
      <c r="R175" s="288" t="str">
        <f>B191 &amp; "x"</f>
        <v>GFP 24hx</v>
      </c>
      <c r="S175" s="289" t="str">
        <f>B191</f>
        <v>GFP 24h</v>
      </c>
    </row>
    <row r="176" spans="2:19">
      <c r="B176" s="903" t="str">
        <f>Calculations_1!E3</f>
        <v>WT 24h</v>
      </c>
      <c r="C176" s="267" t="str">
        <f>Calculations_1!D90</f>
        <v>WT 24h</v>
      </c>
      <c r="D176" s="282">
        <f>Calculations_1!K90</f>
        <v>0.87671095373194685</v>
      </c>
      <c r="E176" s="926">
        <f>AVERAGE(D176:D178)</f>
        <v>1.0078069386399011</v>
      </c>
      <c r="F176" s="928">
        <f>STDEV(D176:D178)</f>
        <v>0.15605651889395658</v>
      </c>
      <c r="G176" s="275"/>
      <c r="H176" s="290">
        <v>1.002</v>
      </c>
      <c r="I176" s="291">
        <f>D176</f>
        <v>0.87671095373194685</v>
      </c>
      <c r="J176" s="291">
        <v>2.0019999999999998</v>
      </c>
      <c r="K176" s="291">
        <f>D179</f>
        <v>0.22329540952965868</v>
      </c>
      <c r="L176" s="291">
        <v>3.0019999999999998</v>
      </c>
      <c r="M176" s="291">
        <f>D182</f>
        <v>0.50860096620486972</v>
      </c>
      <c r="N176" s="291">
        <v>4.0019999999999998</v>
      </c>
      <c r="O176" s="291">
        <f>D185</f>
        <v>0.43754655190818187</v>
      </c>
      <c r="P176" s="291">
        <v>5.0019999999999998</v>
      </c>
      <c r="Q176" s="291">
        <f>D188</f>
        <v>0.4345871292635648</v>
      </c>
      <c r="R176" s="291">
        <v>6.0019999999999998</v>
      </c>
      <c r="S176" s="292">
        <f>D191</f>
        <v>2.0745043761510771</v>
      </c>
    </row>
    <row r="177" spans="2:19">
      <c r="B177" s="904"/>
      <c r="C177" s="280" t="str">
        <f>Calculations_1!D93</f>
        <v>WT 24h</v>
      </c>
      <c r="D177" s="283">
        <f>Calculations_1!K93</f>
        <v>1.1804250910127834</v>
      </c>
      <c r="E177" s="926"/>
      <c r="F177" s="928"/>
      <c r="G177" s="275"/>
      <c r="H177" s="293">
        <v>1.002</v>
      </c>
      <c r="I177" s="294">
        <f>D177</f>
        <v>1.1804250910127834</v>
      </c>
      <c r="J177" s="294">
        <v>2.0019999999999998</v>
      </c>
      <c r="K177" s="294">
        <f>D180</f>
        <v>0.33749798804287862</v>
      </c>
      <c r="L177" s="294">
        <v>3.0019999999999998</v>
      </c>
      <c r="M177" s="294">
        <f>D183</f>
        <v>0.74603541470613477</v>
      </c>
      <c r="N177" s="294">
        <v>4.0019999999999998</v>
      </c>
      <c r="O177" s="294">
        <f>D186</f>
        <v>0.27684799082223627</v>
      </c>
      <c r="P177" s="294">
        <v>5.0019999999999998</v>
      </c>
      <c r="Q177" s="294">
        <f>D189</f>
        <v>0.20092930208914486</v>
      </c>
      <c r="R177" s="294">
        <v>6.0019999999999998</v>
      </c>
      <c r="S177" s="295">
        <f>D192</f>
        <v>2.1159020414820411</v>
      </c>
    </row>
    <row r="178" spans="2:19" ht="16.2" thickBot="1">
      <c r="B178" s="905"/>
      <c r="C178" s="268" t="str">
        <f>Calculations_1!D96</f>
        <v>WT 24h</v>
      </c>
      <c r="D178" s="284">
        <f>Calculations_1!K96</f>
        <v>0.96628477117497291</v>
      </c>
      <c r="E178" s="927"/>
      <c r="F178" s="929"/>
      <c r="G178" s="275"/>
      <c r="H178" s="413">
        <v>1.002</v>
      </c>
      <c r="I178" s="296">
        <f>D178</f>
        <v>0.96628477117497291</v>
      </c>
      <c r="J178" s="296">
        <v>2.0019999999999998</v>
      </c>
      <c r="K178" s="296">
        <f>D181</f>
        <v>0.17976462382717531</v>
      </c>
      <c r="L178" s="296">
        <v>3.0019999999999998</v>
      </c>
      <c r="M178" s="296">
        <f>D184</f>
        <v>0.56076160680058895</v>
      </c>
      <c r="N178" s="296">
        <v>4.0019999999999998</v>
      </c>
      <c r="O178" s="296">
        <f>D187</f>
        <v>0.2168423256826503</v>
      </c>
      <c r="P178" s="296">
        <v>5.0019999999999998</v>
      </c>
      <c r="Q178" s="296">
        <f>D190</f>
        <v>0.26763346916825126</v>
      </c>
      <c r="R178" s="296">
        <v>6.0019999999999998</v>
      </c>
      <c r="S178" s="297">
        <f>D193</f>
        <v>1.8726527946682321</v>
      </c>
    </row>
    <row r="179" spans="2:19" ht="16.2" thickBot="1">
      <c r="B179" s="883" t="str">
        <f>Calculations_1!Q3</f>
        <v>Set 1 24h</v>
      </c>
      <c r="C179" s="269" t="str">
        <f>Calculations_1!P90</f>
        <v>Set 1 24h</v>
      </c>
      <c r="D179" s="285">
        <f>Calculations_1!V90</f>
        <v>0.22329540952965868</v>
      </c>
      <c r="E179" s="926">
        <f>AVERAGE(D179:D181)</f>
        <v>0.24685267379990419</v>
      </c>
      <c r="F179" s="928">
        <f>STDEV(D179:D181)</f>
        <v>8.1462642184160522E-2</v>
      </c>
      <c r="G179" s="271"/>
      <c r="H179" s="271"/>
      <c r="I179" s="271"/>
      <c r="J179" s="271"/>
      <c r="K179" s="271"/>
      <c r="L179" s="271"/>
      <c r="M179" s="271"/>
      <c r="N179" s="271"/>
      <c r="O179" s="271"/>
      <c r="P179" s="271"/>
      <c r="Q179" s="271"/>
      <c r="R179" s="271"/>
      <c r="S179" s="277"/>
    </row>
    <row r="180" spans="2:19" ht="16.2" thickBot="1">
      <c r="B180" s="884"/>
      <c r="C180" s="281" t="str">
        <f>Calculations_1!P93</f>
        <v>Set 1 24h</v>
      </c>
      <c r="D180" s="283">
        <f>Calculations_1!V93</f>
        <v>0.33749798804287862</v>
      </c>
      <c r="E180" s="926"/>
      <c r="F180" s="928"/>
      <c r="G180" s="271"/>
      <c r="H180" s="175"/>
      <c r="I180" s="298" t="str">
        <f>B176</f>
        <v>WT 24h</v>
      </c>
      <c r="J180" s="299" t="str">
        <f>B179</f>
        <v>Set 1 24h</v>
      </c>
      <c r="K180" s="299" t="str">
        <f>B182</f>
        <v>Set 2 24h</v>
      </c>
      <c r="L180" s="299" t="str">
        <f>B185</f>
        <v>Set 4 24h</v>
      </c>
      <c r="M180" s="299" t="str">
        <f>B188</f>
        <v>Set 5 24h</v>
      </c>
      <c r="N180" s="300" t="str">
        <f>B191</f>
        <v>GFP 24h</v>
      </c>
      <c r="O180" s="271"/>
      <c r="P180" s="271"/>
      <c r="Q180" s="271"/>
      <c r="R180" s="271"/>
      <c r="S180" s="277"/>
    </row>
    <row r="181" spans="2:19" ht="16.8" thickBot="1">
      <c r="B181" s="885"/>
      <c r="C181" s="129" t="str">
        <f>Calculations_1!P96</f>
        <v>Set 1 24h</v>
      </c>
      <c r="D181" s="284">
        <f>Calculations_1!V96</f>
        <v>0.17976462382717531</v>
      </c>
      <c r="E181" s="927"/>
      <c r="F181" s="929"/>
      <c r="G181" s="271"/>
      <c r="H181" s="301" t="s">
        <v>24</v>
      </c>
      <c r="I181" s="302">
        <f>E176</f>
        <v>1.0078069386399011</v>
      </c>
      <c r="J181" s="303">
        <f>E179</f>
        <v>0.24685267379990419</v>
      </c>
      <c r="K181" s="303">
        <f>E182</f>
        <v>0.60513266257053122</v>
      </c>
      <c r="L181" s="303">
        <f>E185</f>
        <v>0.31041228947102278</v>
      </c>
      <c r="M181" s="303">
        <f>E188</f>
        <v>0.30104996684032032</v>
      </c>
      <c r="N181" s="304">
        <f>E191</f>
        <v>2.0210197374337837</v>
      </c>
      <c r="O181" s="271"/>
      <c r="P181" s="271"/>
      <c r="Q181" s="271"/>
      <c r="R181" s="271"/>
      <c r="S181" s="277"/>
    </row>
    <row r="182" spans="2:19" ht="16.8" thickBot="1">
      <c r="B182" s="883" t="str">
        <f>Calculations_1!AB3</f>
        <v>Set 2 24h</v>
      </c>
      <c r="C182" s="270" t="str">
        <f>Calculations_1!AA90</f>
        <v>Set 2 24h</v>
      </c>
      <c r="D182" s="286">
        <f>Calculations_1!AG90</f>
        <v>0.50860096620486972</v>
      </c>
      <c r="E182" s="926">
        <f>AVERAGE(D182:D184)</f>
        <v>0.60513266257053122</v>
      </c>
      <c r="F182" s="928">
        <f>STDEV(D182:D184)</f>
        <v>0.12478129778287836</v>
      </c>
      <c r="G182" s="271"/>
      <c r="H182" s="305" t="s">
        <v>25</v>
      </c>
      <c r="I182" s="306">
        <f>F176</f>
        <v>0.15605651889395658</v>
      </c>
      <c r="J182" s="307">
        <f>F179</f>
        <v>8.1462642184160522E-2</v>
      </c>
      <c r="K182" s="307">
        <f>F182</f>
        <v>0.12478129778287836</v>
      </c>
      <c r="L182" s="307">
        <f>F185</f>
        <v>0.11411621478252502</v>
      </c>
      <c r="M182" s="307">
        <f>F188</f>
        <v>0.12035984291892513</v>
      </c>
      <c r="N182" s="308">
        <f>F191</f>
        <v>0.13014608696734187</v>
      </c>
      <c r="O182" s="271"/>
      <c r="P182" s="271"/>
      <c r="Q182" s="271"/>
      <c r="R182" s="271"/>
      <c r="S182" s="277"/>
    </row>
    <row r="183" spans="2:19">
      <c r="B183" s="884"/>
      <c r="C183" s="281" t="str">
        <f>Calculations_1!AA93</f>
        <v>Set 2 24h</v>
      </c>
      <c r="D183" s="283">
        <f>Calculations_1!AG93</f>
        <v>0.74603541470613477</v>
      </c>
      <c r="E183" s="926"/>
      <c r="F183" s="928"/>
      <c r="G183" s="271"/>
      <c r="H183" s="271"/>
      <c r="I183" s="271"/>
      <c r="J183" s="271"/>
      <c r="K183" s="271"/>
      <c r="L183" s="271"/>
      <c r="M183" s="271"/>
      <c r="N183" s="271"/>
      <c r="O183" s="271"/>
      <c r="P183" s="271"/>
      <c r="Q183" s="271"/>
      <c r="R183" s="271"/>
      <c r="S183" s="277"/>
    </row>
    <row r="184" spans="2:19" ht="16.2" thickBot="1">
      <c r="B184" s="885"/>
      <c r="C184" s="267" t="str">
        <f>Calculations_1!AA96</f>
        <v>Set 2 24h</v>
      </c>
      <c r="D184" s="284">
        <f>Calculations_1!AG96</f>
        <v>0.56076160680058895</v>
      </c>
      <c r="E184" s="927"/>
      <c r="F184" s="929"/>
      <c r="G184" s="271"/>
      <c r="H184" s="271"/>
      <c r="I184" s="271"/>
      <c r="J184" s="271"/>
      <c r="K184" s="271"/>
      <c r="L184" s="271"/>
      <c r="M184" s="271"/>
      <c r="N184" s="271"/>
      <c r="O184" s="271"/>
      <c r="P184" s="271"/>
      <c r="Q184" s="271"/>
      <c r="R184" s="271"/>
      <c r="S184" s="277"/>
    </row>
    <row r="185" spans="2:19">
      <c r="B185" s="883" t="str">
        <f>Calculations_1!AM3</f>
        <v>Set 4 24h</v>
      </c>
      <c r="C185" s="269" t="str">
        <f>Calculations_1!AL90</f>
        <v>Set 4 24h</v>
      </c>
      <c r="D185" s="286">
        <f>Calculations_1!AR90</f>
        <v>0.43754655190818187</v>
      </c>
      <c r="E185" s="926">
        <f>AVERAGE(D185:D187)</f>
        <v>0.31041228947102278</v>
      </c>
      <c r="F185" s="928">
        <f>STDEV(D185:D187)</f>
        <v>0.11411621478252502</v>
      </c>
      <c r="G185" s="271"/>
      <c r="H185" s="271"/>
      <c r="I185" s="271"/>
      <c r="J185" s="271"/>
      <c r="K185" s="271"/>
      <c r="L185" s="271"/>
      <c r="M185" s="271"/>
      <c r="N185" s="271"/>
      <c r="O185" s="271"/>
      <c r="P185" s="271"/>
      <c r="Q185" s="271"/>
      <c r="R185" s="271"/>
      <c r="S185" s="277"/>
    </row>
    <row r="186" spans="2:19">
      <c r="B186" s="884"/>
      <c r="C186" s="281" t="str">
        <f>Calculations_1!AL93</f>
        <v>Set 4 24h</v>
      </c>
      <c r="D186" s="283">
        <f>Calculations_1!AR93</f>
        <v>0.27684799082223627</v>
      </c>
      <c r="E186" s="926"/>
      <c r="F186" s="928"/>
      <c r="G186" s="271"/>
      <c r="H186" s="271"/>
      <c r="I186" s="271"/>
      <c r="J186" s="271"/>
      <c r="K186" s="271"/>
      <c r="L186" s="271"/>
      <c r="M186" s="271"/>
      <c r="N186" s="271"/>
      <c r="O186" s="271"/>
      <c r="P186" s="271"/>
      <c r="Q186" s="271"/>
      <c r="R186" s="271"/>
      <c r="S186" s="277"/>
    </row>
    <row r="187" spans="2:19" ht="16.2" thickBot="1">
      <c r="B187" s="885"/>
      <c r="C187" s="267" t="str">
        <f>Calculations_1!AL96</f>
        <v>Set 4 24h</v>
      </c>
      <c r="D187" s="284">
        <f>Calculations_1!AR96</f>
        <v>0.2168423256826503</v>
      </c>
      <c r="E187" s="927"/>
      <c r="F187" s="929"/>
      <c r="G187" s="271"/>
      <c r="H187" s="271"/>
      <c r="I187" s="271"/>
      <c r="J187" s="271"/>
      <c r="K187" s="271"/>
      <c r="L187" s="271"/>
      <c r="M187" s="271"/>
      <c r="N187" s="271"/>
      <c r="O187" s="271"/>
      <c r="P187" s="271"/>
      <c r="Q187" s="271"/>
      <c r="R187" s="271"/>
      <c r="S187" s="277"/>
    </row>
    <row r="188" spans="2:19">
      <c r="B188" s="883" t="str">
        <f>Calculations_1!AX3</f>
        <v>Set 5 24h</v>
      </c>
      <c r="C188" s="269" t="str">
        <f>Calculations_1!AW90</f>
        <v>Set 5 24h</v>
      </c>
      <c r="D188" s="286">
        <f>Calculations_1!BC90</f>
        <v>0.4345871292635648</v>
      </c>
      <c r="E188" s="926">
        <f>AVERAGE(D188:D190)</f>
        <v>0.30104996684032032</v>
      </c>
      <c r="F188" s="928">
        <f>STDEV(D188:D190)</f>
        <v>0.12035984291892513</v>
      </c>
      <c r="G188" s="271"/>
      <c r="H188" s="271"/>
      <c r="I188" s="271"/>
      <c r="J188" s="271"/>
      <c r="K188" s="271"/>
      <c r="L188" s="271"/>
      <c r="M188" s="271"/>
      <c r="N188" s="271"/>
      <c r="O188" s="271"/>
      <c r="P188" s="271"/>
      <c r="Q188" s="271"/>
      <c r="R188" s="271"/>
      <c r="S188" s="277"/>
    </row>
    <row r="189" spans="2:19">
      <c r="B189" s="884"/>
      <c r="C189" s="281" t="str">
        <f>Calculations_1!AW93</f>
        <v>Set 5 24h</v>
      </c>
      <c r="D189" s="283">
        <f>Calculations_1!BC93</f>
        <v>0.20092930208914486</v>
      </c>
      <c r="E189" s="926"/>
      <c r="F189" s="928"/>
      <c r="G189" s="271"/>
      <c r="H189" s="271"/>
      <c r="I189" s="271"/>
      <c r="J189" s="271"/>
      <c r="K189" s="271"/>
      <c r="L189" s="271"/>
      <c r="M189" s="271"/>
      <c r="N189" s="271"/>
      <c r="O189" s="271"/>
      <c r="P189" s="271"/>
      <c r="Q189" s="271"/>
      <c r="R189" s="271"/>
      <c r="S189" s="277"/>
    </row>
    <row r="190" spans="2:19" ht="16.2" thickBot="1">
      <c r="B190" s="885"/>
      <c r="C190" s="267" t="str">
        <f>Calculations_1!AW96</f>
        <v>Set 5 24h</v>
      </c>
      <c r="D190" s="284">
        <f>Calculations_1!BC96</f>
        <v>0.26763346916825126</v>
      </c>
      <c r="E190" s="927"/>
      <c r="F190" s="929"/>
      <c r="G190" s="271"/>
      <c r="H190" s="271"/>
      <c r="I190" s="271"/>
      <c r="J190" s="271"/>
      <c r="K190" s="271"/>
      <c r="L190" s="271"/>
      <c r="M190" s="271"/>
      <c r="N190" s="271"/>
      <c r="O190" s="271"/>
      <c r="P190" s="271"/>
      <c r="Q190" s="271"/>
      <c r="R190" s="271"/>
      <c r="S190" s="277"/>
    </row>
    <row r="191" spans="2:19">
      <c r="B191" s="883" t="str">
        <f>Calculations_1!BI3</f>
        <v>GFP 24h</v>
      </c>
      <c r="C191" s="269" t="str">
        <f>Calculations_1!BH90</f>
        <v>GFP 24h</v>
      </c>
      <c r="D191" s="286">
        <f>Calculations_1!BN90</f>
        <v>2.0745043761510771</v>
      </c>
      <c r="E191" s="926">
        <f>AVERAGE(D191:D193)</f>
        <v>2.0210197374337837</v>
      </c>
      <c r="F191" s="928">
        <f>STDEV(D191:D193)</f>
        <v>0.13014608696734187</v>
      </c>
      <c r="G191" s="271"/>
      <c r="H191" s="271"/>
      <c r="I191" s="271"/>
      <c r="J191" s="271"/>
      <c r="K191" s="271"/>
      <c r="L191" s="271"/>
      <c r="M191" s="271"/>
      <c r="N191" s="271"/>
      <c r="O191" s="271"/>
      <c r="P191" s="271"/>
      <c r="Q191" s="271"/>
      <c r="R191" s="271"/>
      <c r="S191" s="277"/>
    </row>
    <row r="192" spans="2:19">
      <c r="B192" s="884"/>
      <c r="C192" s="281" t="str">
        <f>Calculations_1!BH93</f>
        <v>GFP 24h</v>
      </c>
      <c r="D192" s="283">
        <f>Calculations_1!BN93</f>
        <v>2.1159020414820411</v>
      </c>
      <c r="E192" s="926"/>
      <c r="F192" s="928"/>
      <c r="G192" s="271"/>
      <c r="H192" s="271"/>
      <c r="I192" s="271"/>
      <c r="J192" s="271"/>
      <c r="K192" s="271"/>
      <c r="L192" s="271"/>
      <c r="M192" s="271"/>
      <c r="N192" s="271"/>
      <c r="O192" s="271"/>
      <c r="P192" s="271"/>
      <c r="Q192" s="271"/>
      <c r="R192" s="271"/>
      <c r="S192" s="277"/>
    </row>
    <row r="193" spans="2:19" ht="16.2" thickBot="1">
      <c r="B193" s="885"/>
      <c r="C193" s="129" t="str">
        <f>Calculations_1!BH96</f>
        <v>GFP 24h</v>
      </c>
      <c r="D193" s="284">
        <f>Calculations_1!BN96</f>
        <v>1.8726527946682321</v>
      </c>
      <c r="E193" s="927"/>
      <c r="F193" s="929"/>
      <c r="G193" s="271"/>
      <c r="H193" s="271"/>
      <c r="I193" s="271"/>
      <c r="J193" s="271"/>
      <c r="K193" s="271"/>
      <c r="L193" s="271"/>
      <c r="M193" s="271"/>
      <c r="N193" s="271"/>
      <c r="O193" s="271"/>
      <c r="P193" s="271"/>
      <c r="Q193" s="271"/>
      <c r="R193" s="271"/>
      <c r="S193" s="277"/>
    </row>
    <row r="194" spans="2:19">
      <c r="B194" s="271"/>
      <c r="C194" s="271"/>
      <c r="D194" s="271"/>
      <c r="E194" s="271"/>
      <c r="F194" s="271"/>
      <c r="G194" s="271"/>
      <c r="H194" s="271"/>
      <c r="I194" s="271"/>
      <c r="J194" s="271"/>
      <c r="K194" s="271"/>
      <c r="L194" s="271"/>
      <c r="M194" s="271"/>
      <c r="N194" s="271"/>
      <c r="O194" s="271"/>
      <c r="P194" s="271"/>
      <c r="Q194" s="271"/>
      <c r="R194" s="271"/>
      <c r="S194" s="277"/>
    </row>
    <row r="195" spans="2:19">
      <c r="B195" s="271"/>
      <c r="C195" s="271"/>
      <c r="D195" s="271"/>
      <c r="E195" s="271"/>
      <c r="F195" s="271"/>
      <c r="G195" s="271"/>
      <c r="H195" s="271"/>
      <c r="I195" s="271"/>
      <c r="J195" s="271"/>
      <c r="K195" s="271"/>
      <c r="L195" s="271"/>
      <c r="M195" s="271"/>
      <c r="N195" s="271"/>
      <c r="O195" s="271"/>
      <c r="P195" s="271"/>
      <c r="Q195" s="271"/>
      <c r="R195" s="271"/>
      <c r="S195" s="277"/>
    </row>
    <row r="196" spans="2:19">
      <c r="B196" s="271"/>
      <c r="C196" s="271"/>
      <c r="D196" s="271"/>
      <c r="E196" s="271"/>
      <c r="F196" s="271"/>
      <c r="G196" s="271"/>
      <c r="H196" s="271"/>
      <c r="I196" s="271"/>
      <c r="J196" s="271"/>
      <c r="K196" s="271"/>
      <c r="L196" s="271"/>
      <c r="M196" s="271"/>
      <c r="N196" s="271"/>
      <c r="O196" s="271"/>
      <c r="P196" s="271"/>
      <c r="Q196" s="271"/>
      <c r="R196" s="271"/>
      <c r="S196" s="277"/>
    </row>
    <row r="197" spans="2:19">
      <c r="B197" s="271"/>
      <c r="C197" s="271"/>
      <c r="D197" s="271"/>
      <c r="E197" s="271"/>
      <c r="F197" s="271"/>
      <c r="G197" s="271"/>
      <c r="H197" s="271"/>
      <c r="I197" s="271"/>
      <c r="J197" s="271"/>
      <c r="K197" s="271"/>
      <c r="L197" s="271"/>
      <c r="M197" s="271"/>
      <c r="N197" s="271"/>
      <c r="O197" s="271"/>
      <c r="P197" s="271"/>
      <c r="Q197" s="271"/>
      <c r="R197" s="271"/>
      <c r="S197" s="277"/>
    </row>
    <row r="198" spans="2:19">
      <c r="B198" s="271"/>
      <c r="C198" s="271"/>
      <c r="D198" s="271"/>
      <c r="E198" s="271"/>
      <c r="F198" s="271"/>
      <c r="G198" s="271"/>
      <c r="H198" s="271"/>
      <c r="I198" s="271"/>
      <c r="J198" s="271"/>
      <c r="K198" s="271"/>
      <c r="L198" s="271"/>
      <c r="M198" s="271"/>
      <c r="N198" s="271"/>
      <c r="O198" s="271"/>
      <c r="P198" s="271"/>
      <c r="Q198" s="271"/>
      <c r="R198" s="271"/>
      <c r="S198" s="277"/>
    </row>
    <row r="199" spans="2:19">
      <c r="B199" s="271"/>
      <c r="C199" s="271"/>
      <c r="D199" s="271"/>
      <c r="E199" s="271"/>
      <c r="F199" s="271"/>
      <c r="G199" s="271"/>
      <c r="H199" s="271"/>
      <c r="I199" s="271"/>
      <c r="J199" s="271"/>
      <c r="K199" s="271"/>
      <c r="L199" s="271"/>
      <c r="M199" s="271"/>
      <c r="N199" s="271"/>
      <c r="O199" s="271"/>
      <c r="P199" s="271"/>
      <c r="Q199" s="271"/>
      <c r="R199" s="271"/>
      <c r="S199" s="277"/>
    </row>
    <row r="200" spans="2:19">
      <c r="B200" s="271"/>
      <c r="C200" s="271"/>
      <c r="D200" s="271"/>
      <c r="E200" s="271"/>
      <c r="F200" s="271"/>
      <c r="G200" s="271"/>
      <c r="H200" s="271"/>
      <c r="I200" s="271"/>
      <c r="J200" s="271"/>
      <c r="K200" s="271"/>
      <c r="L200" s="271"/>
      <c r="M200" s="271"/>
      <c r="N200" s="271"/>
      <c r="O200" s="271"/>
      <c r="P200" s="271"/>
      <c r="Q200" s="271"/>
      <c r="R200" s="271"/>
      <c r="S200" s="277"/>
    </row>
    <row r="201" spans="2:19">
      <c r="B201" s="271"/>
      <c r="C201" s="271"/>
      <c r="D201" s="271"/>
      <c r="E201" s="271"/>
      <c r="F201" s="271"/>
      <c r="G201" s="271"/>
      <c r="H201" s="271"/>
      <c r="I201" s="271"/>
      <c r="J201" s="271"/>
      <c r="K201" s="271"/>
      <c r="L201" s="271"/>
      <c r="M201" s="271"/>
      <c r="N201" s="271"/>
      <c r="O201" s="271"/>
      <c r="P201" s="271"/>
      <c r="Q201" s="271"/>
      <c r="R201" s="271"/>
      <c r="S201" s="277"/>
    </row>
    <row r="202" spans="2:19">
      <c r="B202" s="271"/>
      <c r="C202" s="271"/>
      <c r="D202" s="271"/>
      <c r="E202" s="271"/>
      <c r="F202" s="271"/>
      <c r="G202" s="271"/>
      <c r="H202" s="271"/>
      <c r="I202" s="271"/>
      <c r="J202" s="271"/>
      <c r="K202" s="271"/>
      <c r="L202" s="271"/>
      <c r="M202" s="271"/>
      <c r="N202" s="271"/>
      <c r="O202" s="271"/>
      <c r="P202" s="271"/>
      <c r="Q202" s="271"/>
      <c r="R202" s="271"/>
      <c r="S202" s="277"/>
    </row>
    <row r="203" spans="2:19">
      <c r="B203" s="271"/>
      <c r="C203" s="271"/>
      <c r="D203" s="271"/>
      <c r="E203" s="271"/>
      <c r="F203" s="271"/>
      <c r="G203" s="271"/>
      <c r="H203" s="271"/>
      <c r="I203" s="271"/>
      <c r="J203" s="271"/>
      <c r="K203" s="271"/>
      <c r="L203" s="271"/>
      <c r="M203" s="271"/>
      <c r="N203" s="271"/>
      <c r="O203" s="271"/>
      <c r="P203" s="271"/>
      <c r="Q203" s="271"/>
      <c r="R203" s="271"/>
      <c r="S203" s="277"/>
    </row>
    <row r="204" spans="2:19">
      <c r="B204" s="271"/>
      <c r="C204" s="271"/>
      <c r="D204" s="271"/>
      <c r="E204" s="271"/>
      <c r="F204" s="271"/>
      <c r="G204" s="271"/>
      <c r="H204" s="271"/>
      <c r="I204" s="271"/>
      <c r="J204" s="271"/>
      <c r="K204" s="271"/>
      <c r="L204" s="271"/>
      <c r="M204" s="271"/>
      <c r="N204" s="271"/>
      <c r="O204" s="271"/>
      <c r="P204" s="271"/>
      <c r="Q204" s="271"/>
      <c r="R204" s="271"/>
      <c r="S204" s="277"/>
    </row>
    <row r="205" spans="2:19">
      <c r="B205" s="271"/>
      <c r="C205" s="271"/>
      <c r="D205" s="271"/>
      <c r="E205" s="271"/>
      <c r="F205" s="271"/>
      <c r="G205" s="271"/>
      <c r="H205" s="271"/>
      <c r="I205" s="271"/>
      <c r="J205" s="271"/>
      <c r="K205" s="271"/>
      <c r="L205" s="271"/>
      <c r="M205" s="271"/>
      <c r="N205" s="271"/>
      <c r="O205" s="271"/>
      <c r="P205" s="271"/>
      <c r="Q205" s="271"/>
      <c r="R205" s="271"/>
      <c r="S205" s="277"/>
    </row>
    <row r="206" spans="2:19">
      <c r="B206" s="271"/>
      <c r="C206" s="271"/>
      <c r="D206" s="271"/>
      <c r="E206" s="271"/>
      <c r="F206" s="271"/>
      <c r="G206" s="271"/>
      <c r="H206" s="271"/>
      <c r="I206" s="271"/>
      <c r="J206" s="271"/>
      <c r="K206" s="271"/>
      <c r="L206" s="271"/>
      <c r="M206" s="271"/>
      <c r="N206" s="271"/>
      <c r="O206" s="271"/>
      <c r="P206" s="271"/>
      <c r="Q206" s="271"/>
      <c r="R206" s="271"/>
      <c r="S206" s="277"/>
    </row>
    <row r="207" spans="2:19">
      <c r="B207" s="271"/>
      <c r="C207" s="271"/>
      <c r="D207" s="271"/>
      <c r="E207" s="271"/>
      <c r="F207" s="271"/>
      <c r="G207" s="271"/>
      <c r="H207" s="271"/>
      <c r="I207" s="271"/>
      <c r="J207" s="271"/>
      <c r="K207" s="271"/>
      <c r="L207" s="271"/>
      <c r="M207" s="271"/>
      <c r="N207" s="271"/>
      <c r="O207" s="271"/>
      <c r="P207" s="271"/>
      <c r="Q207" s="271"/>
      <c r="R207" s="271"/>
      <c r="S207" s="277"/>
    </row>
    <row r="208" spans="2:19">
      <c r="B208" s="271"/>
      <c r="C208" s="271"/>
      <c r="D208" s="271"/>
      <c r="E208" s="271"/>
      <c r="F208" s="271"/>
      <c r="G208" s="271"/>
      <c r="H208" s="271"/>
      <c r="I208" s="271"/>
      <c r="J208" s="271"/>
      <c r="K208" s="271"/>
      <c r="L208" s="271"/>
      <c r="M208" s="271"/>
      <c r="N208" s="271"/>
      <c r="O208" s="271"/>
      <c r="P208" s="271"/>
      <c r="Q208" s="271"/>
      <c r="R208" s="271"/>
      <c r="S208" s="277"/>
    </row>
    <row r="209" spans="2:19">
      <c r="B209" s="271"/>
      <c r="C209" s="271"/>
      <c r="D209" s="271"/>
      <c r="E209" s="271"/>
      <c r="F209" s="271"/>
      <c r="G209" s="271"/>
      <c r="H209" s="271"/>
      <c r="I209" s="271"/>
      <c r="J209" s="271"/>
      <c r="K209" s="271"/>
      <c r="L209" s="271"/>
      <c r="M209" s="271"/>
      <c r="N209" s="271"/>
      <c r="O209" s="271"/>
      <c r="P209" s="271"/>
      <c r="Q209" s="271"/>
      <c r="R209" s="271"/>
      <c r="S209" s="277"/>
    </row>
    <row r="210" spans="2:19">
      <c r="B210" s="278"/>
      <c r="C210" s="276"/>
      <c r="D210" s="276"/>
      <c r="E210" s="276"/>
      <c r="F210" s="276"/>
      <c r="G210" s="276"/>
      <c r="H210" s="276"/>
      <c r="I210" s="276"/>
      <c r="J210" s="276"/>
      <c r="K210" s="276"/>
      <c r="L210" s="276"/>
      <c r="M210" s="276"/>
      <c r="N210" s="276"/>
      <c r="O210" s="276"/>
      <c r="P210" s="276"/>
      <c r="Q210" s="276"/>
      <c r="R210" s="276"/>
      <c r="S210" s="279"/>
    </row>
  </sheetData>
  <mergeCells count="123">
    <mergeCell ref="U87:U89"/>
    <mergeCell ref="U90:U92"/>
    <mergeCell ref="U75:U77"/>
    <mergeCell ref="U78:U80"/>
    <mergeCell ref="U81:U83"/>
    <mergeCell ref="U84:U86"/>
    <mergeCell ref="U41:U43"/>
    <mergeCell ref="V41:V43"/>
    <mergeCell ref="U11:AK12"/>
    <mergeCell ref="U61:Z61"/>
    <mergeCell ref="AB61:AG61"/>
    <mergeCell ref="U29:U31"/>
    <mergeCell ref="V29:V31"/>
    <mergeCell ref="U32:U34"/>
    <mergeCell ref="V32:V34"/>
    <mergeCell ref="U35:U37"/>
    <mergeCell ref="V35:V37"/>
    <mergeCell ref="U17:AB17"/>
    <mergeCell ref="AD17:AK17"/>
    <mergeCell ref="U38:U40"/>
    <mergeCell ref="V38:V40"/>
    <mergeCell ref="U28:V28"/>
    <mergeCell ref="B11:S12"/>
    <mergeCell ref="B188:B190"/>
    <mergeCell ref="E188:E190"/>
    <mergeCell ref="F188:F190"/>
    <mergeCell ref="B191:B193"/>
    <mergeCell ref="E191:E193"/>
    <mergeCell ref="F191:F193"/>
    <mergeCell ref="B182:B184"/>
    <mergeCell ref="E182:E184"/>
    <mergeCell ref="F182:F184"/>
    <mergeCell ref="B185:B187"/>
    <mergeCell ref="E185:E187"/>
    <mergeCell ref="F185:F187"/>
    <mergeCell ref="C173:S173"/>
    <mergeCell ref="C174:S174"/>
    <mergeCell ref="B176:B178"/>
    <mergeCell ref="E176:E178"/>
    <mergeCell ref="F176:F178"/>
    <mergeCell ref="B179:B181"/>
    <mergeCell ref="E179:E181"/>
    <mergeCell ref="F179:F181"/>
    <mergeCell ref="B148:B150"/>
    <mergeCell ref="E148:E150"/>
    <mergeCell ref="F148:F150"/>
    <mergeCell ref="B151:B153"/>
    <mergeCell ref="E151:E153"/>
    <mergeCell ref="F151:F153"/>
    <mergeCell ref="B142:B144"/>
    <mergeCell ref="E142:E144"/>
    <mergeCell ref="F142:F144"/>
    <mergeCell ref="B145:B147"/>
    <mergeCell ref="E145:E147"/>
    <mergeCell ref="F145:F147"/>
    <mergeCell ref="C134:S134"/>
    <mergeCell ref="B136:B138"/>
    <mergeCell ref="E136:E138"/>
    <mergeCell ref="F136:F138"/>
    <mergeCell ref="B139:B141"/>
    <mergeCell ref="E139:E141"/>
    <mergeCell ref="F139:F141"/>
    <mergeCell ref="B111:B113"/>
    <mergeCell ref="E111:E113"/>
    <mergeCell ref="F111:F113"/>
    <mergeCell ref="C133:S133"/>
    <mergeCell ref="B105:B107"/>
    <mergeCell ref="E105:E107"/>
    <mergeCell ref="F105:F107"/>
    <mergeCell ref="B108:B110"/>
    <mergeCell ref="E108:E110"/>
    <mergeCell ref="F108:F110"/>
    <mergeCell ref="B99:B101"/>
    <mergeCell ref="E99:E101"/>
    <mergeCell ref="F99:F101"/>
    <mergeCell ref="B102:B104"/>
    <mergeCell ref="E102:E104"/>
    <mergeCell ref="F102:F104"/>
    <mergeCell ref="B71:B73"/>
    <mergeCell ref="E71:E73"/>
    <mergeCell ref="F71:F73"/>
    <mergeCell ref="C93:S93"/>
    <mergeCell ref="C94:S94"/>
    <mergeCell ref="B96:B98"/>
    <mergeCell ref="E96:E98"/>
    <mergeCell ref="F96:F98"/>
    <mergeCell ref="E62:E64"/>
    <mergeCell ref="F62:F64"/>
    <mergeCell ref="B65:B67"/>
    <mergeCell ref="E65:E67"/>
    <mergeCell ref="F65:F67"/>
    <mergeCell ref="B68:B70"/>
    <mergeCell ref="E68:E70"/>
    <mergeCell ref="F68:F70"/>
    <mergeCell ref="C13:S13"/>
    <mergeCell ref="C14:S14"/>
    <mergeCell ref="C53:S53"/>
    <mergeCell ref="C54:S54"/>
    <mergeCell ref="B56:B58"/>
    <mergeCell ref="E56:E58"/>
    <mergeCell ref="F56:F58"/>
    <mergeCell ref="B16:B18"/>
    <mergeCell ref="B19:B21"/>
    <mergeCell ref="B22:B24"/>
    <mergeCell ref="B25:B27"/>
    <mergeCell ref="B28:B30"/>
    <mergeCell ref="B31:B33"/>
    <mergeCell ref="B59:B61"/>
    <mergeCell ref="B62:B64"/>
    <mergeCell ref="E16:E18"/>
    <mergeCell ref="F16:F18"/>
    <mergeCell ref="F19:F21"/>
    <mergeCell ref="F22:F24"/>
    <mergeCell ref="E28:E30"/>
    <mergeCell ref="E31:E33"/>
    <mergeCell ref="F28:F30"/>
    <mergeCell ref="F31:F33"/>
    <mergeCell ref="E25:E27"/>
    <mergeCell ref="F25:F27"/>
    <mergeCell ref="E59:E61"/>
    <mergeCell ref="F59:F61"/>
    <mergeCell ref="E22:E24"/>
    <mergeCell ref="E19:E21"/>
  </mergeCells>
  <phoneticPr fontId="19" type="noConversion"/>
  <pageMargins left="0.7" right="0.7" top="0.75" bottom="0.75" header="0.3" footer="0.3"/>
  <pageSetup orientation="portrait" horizontalDpi="0" verticalDpi="0"/>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Calculations_1</vt:lpstr>
      <vt:lpstr>Bar Graphs_1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 Abdel Wahab</dc:creator>
  <cp:lastModifiedBy>Youssef Mohamed</cp:lastModifiedBy>
  <dcterms:created xsi:type="dcterms:W3CDTF">2026-04-27T16:22:27Z</dcterms:created>
  <dcterms:modified xsi:type="dcterms:W3CDTF">2026-09-28T18:14:33Z</dcterms:modified>
</cp:coreProperties>
</file>